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06262391f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c42c05729646a8"/>
    <x:sheet xmlns:r="http://schemas.openxmlformats.org/officeDocument/2006/relationships" name="Milestones" sheetId="2" r:id="R990e664273ab409a"/>
    <x:sheet xmlns:r="http://schemas.openxmlformats.org/officeDocument/2006/relationships" name="Pane Modularity" sheetId="3" r:id="R9d5173321bae4f89"/>
    <x:sheet xmlns:r="http://schemas.openxmlformats.org/officeDocument/2006/relationships" name="Merge Plan" sheetId="4" r:id="R19b76c1ecca1446e"/>
    <x:sheet xmlns:r="http://schemas.openxmlformats.org/officeDocument/2006/relationships" name="Evidence Log" sheetId="5" r:id="Rda179cb27efa48e2"/>
    <x:sheet xmlns:r="http://schemas.openxmlformats.org/officeDocument/2006/relationships" name="Next Phase" sheetId="6" r:id="R6e7105e1ee7d44d5"/>
    <x:sheet xmlns:r="http://schemas.openxmlformats.org/officeDocument/2006/relationships" name="Program Snapshot" sheetId="7" r:id="R1707302c178843d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H1" authorId="0">
      <x:text>
        <x:r>
          <x:t>Validated = supported by uploaded reports/docs. Assumed complete = treated as executed because the user explicitly requested that planning baseline.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FFFFFF"/>
    </x:font>
    <x:font>
      <x:b/>
      <x:sz val="14"/>
    </x:font>
  </x:fonts>
  <x:fills count="9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D9EAF7"/>
      </x:patternFill>
    </x:fill>
    <x:fill>
      <x:patternFill patternType="solid">
        <x:fgColor rgb="00F3F6F9"/>
      </x:patternFill>
    </x:fill>
    <x:fill>
      <x:patternFill patternType="solid">
        <x:fgColor rgb="00DDEBF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2" fillId="2" borderId="0" xfId="0"/>
    <x:xf numFmtId="0" fontId="0" fillId="2" borderId="0" xfId="0" applyAlignment="1">
      <x:alignment wrapText="1"/>
    </x:xf>
    <x:xf numFmtId="0" fontId="2" fillId="6" borderId="1" xfId="0"/>
    <x:xf numFmtId="0" fontId="0" fillId="7" borderId="1" xfId="0"/>
    <x:xf numFmtId="0" fontId="3" fillId="3" borderId="0" xfId="0" applyAlignment="1">
      <x:alignment horizontal="center" vertical="center" wrapText="1"/>
    </x:xf>
    <x:xf numFmtId="0" fontId="0" fillId="8" borderId="1" xfId="0"/>
    <x:xf numFmtId="9" fontId="0" fillId="7" borderId="1" xfId="0"/>
    <x:xf numFmtId="0" fontId="3" fillId="3" borderId="0" xfId="0" applyAlignment="1">
      <x:alignment horizontal="center" wrapText="1"/>
    </x:xf>
    <x:xf numFmtId="0" fontId="0" fillId="0" borderId="1" xfId="0"/>
    <x:xf numFmtId="0" fontId="0" fillId="0" borderId="1" xfId="0" applyAlignment="1">
      <x:alignment vertical="top"/>
    </x:xf>
    <x:xf numFmtId="0" fontId="0" fillId="4" borderId="1" xfId="0" applyAlignment="1">
      <x:alignment vertical="top"/>
    </x:xf>
    <x:xf numFmtId="0" fontId="0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9" fontId="0" fillId="4" borderId="1" xfId="0" applyAlignment="1">
      <x:alignment vertical="top"/>
    </x:xf>
    <x:xf numFmtId="0" fontId="0" fillId="2" borderId="1" xfId="0" applyAlignment="1">
      <x:alignment vertical="top"/>
    </x:xf>
    <x:xf numFmtId="0" fontId="0" fillId="2" borderId="1" xfId="0" applyAlignment="1">
      <x:alignment vertical="top" wrapText="1"/>
    </x:xf>
    <x:xf numFmtId="9" fontId="0" fillId="2" borderId="1" xfId="0" applyAlignment="1">
      <x:alignment vertical="top"/>
    </x:xf>
    <x:xf numFmtId="0" fontId="0" fillId="5" borderId="1" xfId="0" applyAlignment="1">
      <x:alignment vertical="top"/>
    </x:xf>
    <x:xf numFmtId="0" fontId="0" fillId="5" borderId="1" xfId="0" applyAlignment="1">
      <x:alignment vertical="top" wrapText="1"/>
    </x:xf>
    <x:xf numFmtId="9" fontId="0" fillId="5" borderId="1" xfId="0" applyAlignment="1">
      <x:alignment vertical="top"/>
    </x:xf>
    <x:xf numFmtId="0" fontId="0" fillId="6" borderId="1" xfId="0" applyAlignment="1">
      <x:alignment vertical="top" wrapText="1"/>
    </x:xf>
    <x:xf numFmtId="0" fontId="0" fillId="8" borderId="1" xfId="0" applyAlignment="1">
      <x:alignment vertical="top" wrapText="1"/>
    </x:xf>
    <x:xf numFmtId="9" fontId="0" fillId="2" borderId="1" xfId="0" applyAlignment="1">
      <x:alignment vertical="top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9445a739e4d9c" /><Relationship Type="http://schemas.openxmlformats.org/officeDocument/2006/relationships/theme" Target="/xl/theme/theme1.xml" Id="R555437ef12134270" /><Relationship Type="http://schemas.openxmlformats.org/officeDocument/2006/relationships/sharedStrings" Target="/xl/sharedStrings.xml" Id="R6300b81e34ed4b88" /><Relationship Type="http://schemas.openxmlformats.org/officeDocument/2006/relationships/worksheet" Target="/xl/worksheets/sheet1.xml" Id="R45c42c05729646a8" /><Relationship Type="http://schemas.openxmlformats.org/officeDocument/2006/relationships/worksheet" Target="/xl/worksheets/sheet2.xml" Id="R990e664273ab409a" /><Relationship Type="http://schemas.openxmlformats.org/officeDocument/2006/relationships/worksheet" Target="/xl/worksheets/sheet3.xml" Id="R9d5173321bae4f89" /><Relationship Type="http://schemas.openxmlformats.org/officeDocument/2006/relationships/worksheet" Target="/xl/worksheets/sheet4.xml" Id="R19b76c1ecca1446e" /><Relationship Type="http://schemas.openxmlformats.org/officeDocument/2006/relationships/worksheet" Target="/xl/worksheets/sheet5.xml" Id="Rda179cb27efa48e2" /><Relationship Type="http://schemas.openxmlformats.org/officeDocument/2006/relationships/worksheet" Target="/xl/worksheets/sheet6.xml" Id="R6e7105e1ee7d44d5" /><Relationship Type="http://schemas.openxmlformats.org/officeDocument/2006/relationships/worksheet" Target="/xl/worksheets/sheet7.xml" Id="R1707302c178843db" /><Relationship Type="http://schemas.microsoft.com/office/2017/10/relationships/person" Target="/xl/persons/person.xml" Id="Rd1e9afdba64c44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b092d3a88c4657" /><Relationship Type="http://schemas.openxmlformats.org/officeDocument/2006/relationships/chart" Target="/xl/drawings/charts/chart2.xml" Id="Ra2e65403edc242d2" /><Relationship Type="http://schemas.openxmlformats.org/officeDocument/2006/relationships/chart" Target="/xl/drawings/charts/chart3.xml" Id="R05fe973fa6b04caa" /><Relationship Type="http://schemas.openxmlformats.org/officeDocument/2006/relationships/chart" Target="/xl/drawings/charts/chart4.xml" Id="R1d410071723e4b4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Evidence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'Dashboard'!B13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'Dashboard'!$A$14:$A$16</c:f>
              <c:strCache>
                <c:ptCount val="0"/>
              </c:strCache>
            </c:strRef>
          </c:cat>
          <c:val>
            <c:numRef>
              <c:f>'Dashboard'!$B$14:$B$16</c:f>
              <c:numCache>
                <c:formatCode>General</c:formatCode>
                <c:ptCount val="0"/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Milestones by layer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'Dashboard'!E13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'Dashboard'!$D$14:$D$23</c:f>
              <c:strCache>
                <c:ptCount val="0"/>
              </c:strCache>
            </c:strRef>
          </c:cat>
          <c:val>
            <c:numRef>
              <c:f>'Dashboard'!$E$14:$E$23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style val="1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Milestones by pane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'Dashboard'!H13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'Dashboard'!$G$14:$G$20</c:f>
              <c:strCache>
                <c:ptCount val="0"/>
              </c:strCache>
            </c:strRef>
          </c:cat>
          <c:val>
            <c:numRef>
              <c:f>'Dashboard'!$H$14:$H$20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lang val="en-US"/>
  <c:style val="1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Maturity score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'Dashboard'!E5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'Dashboard'!$D$6:$D$11</c:f>
              <c:strCache>
                <c:ptCount val="0"/>
              </c:strCache>
            </c:strRef>
          </c:cat>
          <c:val>
            <c:numRef>
              <c:f>'Dashboard'!$E$6:$E$11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b092d3a88c4657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e65403edc242d2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fe973fa6b04caa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410071723e4b4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A2A3D46F-3B6D-30CF-17D8-E2124642CB16}"/>
</xltc:personList>
</file>

<file path=xl/tables/table1.xml><?xml version="1.0" encoding="utf-8"?>
<x:table xmlns:x="http://schemas.openxmlformats.org/spreadsheetml/2006/main" id="1" name="MilestoneTable" displayName="MilestoneTable" ref="A1:P50" headerRowCount="1">
  <x:autoFilter ref="A1:P50"/>
  <x:tableColumns count="16">
    <x:tableColumn id="1" name="Sort"/>
    <x:tableColumn id="2" name="Milestone ID"/>
    <x:tableColumn id="3" name="Milestone Name"/>
    <x:tableColumn id="4" name="Pane"/>
    <x:tableColumn id="5" name="Layer"/>
    <x:tableColumn id="6" name="Module Type"/>
    <x:tableColumn id="7" name="Build Status"/>
    <x:tableColumn id="8" name="Evidence Status"/>
    <x:tableColumn id="9" name="Evidence Source"/>
    <x:tableColumn id="10" name="Confidence %"/>
    <x:tableColumn id="11" name="Dependency"/>
    <x:tableColumn id="12" name="Output Anchor"/>
    <x:tableColumn id="13" name="Validation/Test"/>
    <x:tableColumn id="14" name="Notes"/>
    <x:tableColumn id="15" name="Merge Order"/>
    <x:tableColumn id="16" name="Next Priorit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554dcb0e8e43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a894cc6ba964390" /><Relationship Type="http://schemas.openxmlformats.org/officeDocument/2006/relationships/vmlDrawing" Target="/xl/drawings/vmldrawing.vml" Id="R4388e58fc42b4804" /><Relationship Type="http://schemas.openxmlformats.org/officeDocument/2006/relationships/table" Target="/xl/tables/table1.xml" Id="R49f4599bfdd640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2" customWidth="1"/>
    <x:col min="3" max="3" width="3" customWidth="1"/>
    <x:col min="4" max="4" width="30" customWidth="1"/>
    <x:col min="5" max="5" width="14" customWidth="1"/>
    <x:col min="6" max="6" width="3" customWidth="1"/>
    <x:col min="7" max="7" width="14" customWidth="1"/>
    <x:col min="8" max="8" width="10" customWidth="1"/>
  </x:cols>
  <x:sheetData>
    <x:row r="1">
      <x:c r="A1" s="1" t="inlineStr">
        <x:is>
          <x:t xml:space="preserve">Clap Product Program Dashboard</x:t>
        </x:is>
      </x:c>
    </x:row>
    <x:row r="2" ht="42" customHeight="1">
      <x:c r="A2" s="2" t="inlineStr">
        <x:is>
          <x:t xml:space="preserve">Baseline note</x:t>
        </x:is>
      </x:c>
      <x:c r="B2" s="3" t="inlineStr">
        <x:is>
          <x:t xml:space="preserve">Rows marked 'Assumed complete' reflect the user's instruction to treat queued Cursor prompts as executed for next-phase planning. They are not the same as independently validated evidence.</x:t>
        </x:is>
      </x:c>
    </x:row>
    <x:row r="5">
      <x:c r="A5" s="4" t="inlineStr">
        <x:is>
          <x:t xml:space="preserve">Total milestones in tracker</x:t>
        </x:is>
      </x:c>
      <x:c r="B5" s="5">
        <x:f>COUNTA(Milestones!B2:B200)</x:f>
        <x:v>49</x:v>
      </x:c>
      <x:c r="D5" s="6" t="inlineStr">
        <x:is>
          <x:t xml:space="preserve">Maturity category</x:t>
        </x:is>
      </x:c>
      <x:c r="E5" s="6" t="inlineStr">
        <x:is>
          <x:t xml:space="preserve">Score (0-10)</x:t>
        </x:is>
      </x:c>
    </x:row>
    <x:row r="6">
      <x:c r="A6" s="4" t="inlineStr">
        <x:is>
          <x:t xml:space="preserve">Built + validated</x:t>
        </x:is>
      </x:c>
      <x:c r="B6" s="5">
        <x:f>COUNTIFS(Milestones!G:G,"Built",Milestones!H:H,"Validated")</x:f>
        <x:v>27</x:v>
      </x:c>
      <x:c r="D6" s="5" t="inlineStr">
        <x:is>
          <x:t xml:space="preserve">Core local operator stack</x:t>
        </x:is>
      </x:c>
      <x:c r="E6" s="7" t="n">
        <x:v>9</x:v>
      </x:c>
    </x:row>
    <x:row r="7">
      <x:c r="A7" s="4" t="inlineStr">
        <x:is>
          <x:t xml:space="preserve">Built + assumed complete</x:t>
        </x:is>
      </x:c>
      <x:c r="B7" s="5">
        <x:f>COUNTIFS(Milestones!G:G,"Built",Milestones!H:H,"Assumed complete")</x:f>
        <x:v>17</x:v>
      </x:c>
      <x:c r="D7" s="5" t="inlineStr">
        <x:is>
          <x:t xml:space="preserve">Ops/reporting workflow suite</x:t>
        </x:is>
      </x:c>
      <x:c r="E7" s="7" t="n">
        <x:v>8</x:v>
      </x:c>
    </x:row>
    <x:row r="8">
      <x:c r="A8" s="4" t="inlineStr">
        <x:is>
          <x:t xml:space="preserve">Next-phase candidates</x:t>
        </x:is>
      </x:c>
      <x:c r="B8" s="5">
        <x:f>COUNTIFS(Milestones!G:G,"Next")</x:f>
        <x:v>5</x:v>
      </x:c>
      <x:c r="D8" s="5" t="inlineStr">
        <x:is>
          <x:t xml:space="preserve">Operator usability / packaging</x:t>
        </x:is>
      </x:c>
      <x:c r="E8" s="7" t="n">
        <x:v>7.5</x:v>
      </x:c>
    </x:row>
    <x:row r="9">
      <x:c r="A9" s="4" t="inlineStr">
        <x:is>
          <x:t xml:space="preserve">Program completion (validated + assumed)</x:t>
        </x:is>
      </x:c>
      <x:c r="B9" s="8">
        <x:f>(B6+B7)/B5</x:f>
        <x:v>0.8979591836734694</x:v>
      </x:c>
      <x:c r="D9" s="5" t="inlineStr">
        <x:is>
          <x:t xml:space="preserve">Development flywheel</x:t>
        </x:is>
      </x:c>
      <x:c r="E9" s="7" t="n">
        <x:v>6</x:v>
      </x:c>
    </x:row>
    <x:row r="10">
      <x:c r="A10" s="4" t="inlineStr">
        <x:is>
          <x:t xml:space="preserve">Average confidence</x:t>
        </x:is>
      </x:c>
      <x:c r="B10" s="8">
        <x:f>AVERAGE(Milestones!J2:J200)</x:f>
        <x:v>0.7616326530612243</x:v>
      </x:c>
      <x:c r="D10" s="5" t="inlineStr">
        <x:is>
          <x:t xml:space="preserve">Desktop automation readiness</x:t>
        </x:is>
      </x:c>
      <x:c r="E10" s="7" t="n">
        <x:v>3.5</x:v>
      </x:c>
    </x:row>
    <x:row r="11">
      <x:c r="D11" s="5" t="inlineStr">
        <x:is>
          <x:t xml:space="preserve">Edge / deployment readiness</x:t>
        </x:is>
      </x:c>
      <x:c r="E11" s="7" t="n">
        <x:v>5.5</x:v>
      </x:c>
    </x:row>
    <x:row r="13">
      <x:c r="A13" s="9" t="inlineStr">
        <x:is>
          <x:t xml:space="preserve">Evidence status</x:t>
        </x:is>
      </x:c>
      <x:c r="B13" s="9" t="inlineStr">
        <x:is>
          <x:t xml:space="preserve">Count</x:t>
        </x:is>
      </x:c>
      <x:c r="D13" s="9" t="inlineStr">
        <x:is>
          <x:t xml:space="preserve">Layer</x:t>
        </x:is>
      </x:c>
      <x:c r="E13" s="9" t="inlineStr">
        <x:is>
          <x:t xml:space="preserve">Count</x:t>
        </x:is>
      </x:c>
      <x:c r="G13" s="9" t="inlineStr">
        <x:is>
          <x:t xml:space="preserve">Pane</x:t>
        </x:is>
      </x:c>
      <x:c r="H13" s="9" t="inlineStr">
        <x:is>
          <x:t xml:space="preserve">Count</x:t>
        </x:is>
      </x:c>
    </x:row>
    <x:row r="14">
      <x:c r="A14" s="10" t="inlineStr">
        <x:is>
          <x:t xml:space="preserve">Validated</x:t>
        </x:is>
      </x:c>
      <x:c r="B14" s="10">
        <x:f>COUNTIF(Milestones!H:H,"Validated")</x:f>
        <x:v>27</x:v>
      </x:c>
      <x:c r="D14" s="10" t="inlineStr">
        <x:is>
          <x:t xml:space="preserve">Foundation</x:t>
        </x:is>
      </x:c>
      <x:c r="E14" s="10">
        <x:f>COUNTIF(Milestones!E:E,"Foundation")</x:f>
        <x:v>4</x:v>
      </x:c>
      <x:c r="G14" s="10" t="inlineStr">
        <x:is>
          <x:t xml:space="preserve">Core</x:t>
        </x:is>
      </x:c>
      <x:c r="H14" s="10">
        <x:f>COUNTIF(Milestones!D:D,"Core")</x:f>
        <x:v>13</x:v>
      </x:c>
    </x:row>
    <x:row r="15">
      <x:c r="A15" s="10" t="inlineStr">
        <x:is>
          <x:t xml:space="preserve">Assumed complete</x:t>
        </x:is>
      </x:c>
      <x:c r="B15" s="10">
        <x:f>COUNTIF(Milestones!H:H,"Assumed complete")</x:f>
        <x:v>17</x:v>
      </x:c>
      <x:c r="D15" s="10" t="inlineStr">
        <x:is>
          <x:t xml:space="preserve">Pilot / cohort</x:t>
        </x:is>
      </x:c>
      <x:c r="E15" s="10">
        <x:f>COUNTIF(Milestones!E:E,"Pilot / cohort")</x:f>
        <x:v>3</x:v>
      </x:c>
      <x:c r="G15" s="10" t="inlineStr">
        <x:is>
          <x:t xml:space="preserve">Pane 1</x:t>
        </x:is>
      </x:c>
      <x:c r="H15" s="10">
        <x:f>COUNTIF(Milestones!D:D,"Pane 1")</x:f>
        <x:v>6</x:v>
      </x:c>
    </x:row>
    <x:row r="16">
      <x:c r="A16" s="10" t="inlineStr">
        <x:is>
          <x:t xml:space="preserve">Next phase</x:t>
        </x:is>
      </x:c>
      <x:c r="B16" s="10">
        <x:f>COUNTIF(Milestones!H:H,"Next phase")</x:f>
        <x:v>5</x:v>
      </x:c>
      <x:c r="D16" s="10" t="inlineStr">
        <x:is>
          <x:t xml:space="preserve">Workflow suite</x:t>
        </x:is>
      </x:c>
      <x:c r="E16" s="10">
        <x:f>COUNTIF(Milestones!E:E,"Workflow suite")</x:f>
        <x:v>6</x:v>
      </x:c>
      <x:c r="G16" s="10" t="inlineStr">
        <x:is>
          <x:t xml:space="preserve">Pane 2</x:t>
        </x:is>
      </x:c>
      <x:c r="H16" s="10">
        <x:f>COUNTIF(Milestones!D:D,"Pane 2")</x:f>
        <x:v>6</x:v>
      </x:c>
    </x:row>
    <x:row r="17">
      <x:c r="D17" s="10" t="inlineStr">
        <x:is>
          <x:t xml:space="preserve">Operator surface</x:t>
        </x:is>
      </x:c>
      <x:c r="E17" s="10">
        <x:f>COUNTIF(Milestones!E:E,"Operator surface")</x:f>
        <x:v>8</x:v>
      </x:c>
      <x:c r="G17" s="10" t="inlineStr">
        <x:is>
          <x:t xml:space="preserve">Pane 3</x:t>
        </x:is>
      </x:c>
      <x:c r="H17" s="10">
        <x:f>COUNTIF(Milestones!D:D,"Pane 3")</x:f>
        <x:v>6</x:v>
      </x:c>
    </x:row>
    <x:row r="18">
      <x:c r="D18" s="10" t="inlineStr">
        <x:is>
          <x:t xml:space="preserve">Dev flywheel</x:t>
        </x:is>
      </x:c>
      <x:c r="E18" s="10">
        <x:f>COUNTIF(Milestones!E:E,"Dev flywheel")</x:f>
        <x:v>4</x:v>
      </x:c>
      <x:c r="G18" s="10" t="inlineStr">
        <x:is>
          <x:t xml:space="preserve">Pane 4</x:t>
        </x:is>
      </x:c>
      <x:c r="H18" s="10">
        <x:f>COUNTIF(Milestones!D:D,"Pane 4")</x:f>
        <x:v>8</x:v>
      </x:c>
    </x:row>
    <x:row r="19">
      <x:c r="D19" s="10" t="inlineStr">
        <x:is>
          <x:t xml:space="preserve">Workflow composition</x:t>
        </x:is>
      </x:c>
      <x:c r="E19" s="10">
        <x:f>COUNTIF(Milestones!E:E,"Workflow composition")</x:f>
        <x:v>6</x:v>
      </x:c>
      <x:c r="G19" s="10" t="inlineStr">
        <x:is>
          <x:t xml:space="preserve">Pane 5</x:t>
        </x:is>
      </x:c>
      <x:c r="H19" s="10">
        <x:f>COUNTIF(Milestones!D:D,"Pane 5")</x:f>
        <x:v>5</x:v>
      </x:c>
    </x:row>
    <x:row r="20">
      <x:c r="D20" s="10" t="inlineStr">
        <x:is>
          <x:t xml:space="preserve">Automation lab</x:t>
        </x:is>
      </x:c>
      <x:c r="E20" s="10">
        <x:f>COUNTIF(Milestones!E:E,"Automation lab")</x:f>
        <x:v>6</x:v>
      </x:c>
      <x:c r="G20" s="10" t="inlineStr">
        <x:is>
          <x:t xml:space="preserve">Next</x:t>
        </x:is>
      </x:c>
      <x:c r="H20" s="10">
        <x:f>COUNTIF(Milestones!D:D,"Next")</x:f>
        <x:v>5</x:v>
      </x:c>
    </x:row>
    <x:row r="21">
      <x:c r="D21" s="10" t="inlineStr">
        <x:is>
          <x:t xml:space="preserve">Deployment</x:t>
        </x:is>
      </x:c>
      <x:c r="E21" s="10">
        <x:f>COUNTIF(Milestones!E:E,"Deployment")</x:f>
        <x:v>6</x:v>
      </x:c>
    </x:row>
    <x:row r="22">
      <x:c r="D22" s="10" t="inlineStr">
        <x:is>
          <x:t xml:space="preserve">Governance</x:t>
        </x:is>
      </x:c>
      <x:c r="E22" s="10">
        <x:f>COUNTIF(Milestones!E:E,"Governance")</x:f>
        <x:v>1</x:v>
      </x:c>
    </x:row>
    <x:row r="23">
      <x:c r="D23" s="10" t="inlineStr">
        <x:is>
          <x:t xml:space="preserve">Desktop automation</x:t>
        </x:is>
      </x:c>
      <x:c r="E23" s="10">
        <x:f>COUNTIF(Milestones!E:E,"Desktop automation")</x:f>
        <x:v>5</x:v>
      </x:c>
    </x:row>
  </x:sheetData>
  <x:pageMargins left="0.7" right="0.7" top="0.75" bottom="0.75" header="0.3" footer="0.3"/>
  <x:drawing xmlns:r="http://schemas.openxmlformats.org/officeDocument/2006/relationships" r:id="Rb6554dcb0e8e43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34" customWidth="1"/>
    <x:col min="4" max="4" width="12" customWidth="1"/>
    <x:col min="5" max="5" width="18" customWidth="1"/>
    <x:col min="6" max="6" width="18" customWidth="1"/>
    <x:col min="7" max="7" width="12" customWidth="1"/>
    <x:col min="8" max="8" width="16" customWidth="1"/>
    <x:col min="9" max="9" width="28" customWidth="1"/>
    <x:col min="10" max="10" width="12" customWidth="1"/>
    <x:col min="11" max="11" width="20" customWidth="1"/>
    <x:col min="12" max="12" width="22" customWidth="1"/>
    <x:col min="13" max="13" width="20" customWidth="1"/>
    <x:col min="14" max="14" width="30" customWidth="1"/>
    <x:col min="15" max="15" width="12" customWidth="1"/>
    <x:col min="16" max="16" width="12" customWidth="1"/>
  </x:cols>
  <x:sheetData>
    <x:row r="1">
      <x:c r="A1" s="6" t="inlineStr">
        <x:is>
          <x:t xml:space="preserve">Sort</x:t>
        </x:is>
      </x:c>
      <x:c r="B1" s="6" t="inlineStr">
        <x:is>
          <x:t xml:space="preserve">Milestone ID</x:t>
        </x:is>
      </x:c>
      <x:c r="C1" s="6" t="inlineStr">
        <x:is>
          <x:t xml:space="preserve">Milestone Name</x:t>
        </x:is>
      </x:c>
      <x:c r="D1" s="6" t="inlineStr">
        <x:is>
          <x:t xml:space="preserve">Pane</x:t>
        </x:is>
      </x:c>
      <x:c r="E1" s="6" t="inlineStr">
        <x:is>
          <x:t xml:space="preserve">Layer</x:t>
        </x:is>
      </x:c>
      <x:c r="F1" s="6" t="inlineStr">
        <x:is>
          <x:t xml:space="preserve">Module Type</x:t>
        </x:is>
      </x:c>
      <x:c r="G1" s="6" t="inlineStr">
        <x:is>
          <x:t xml:space="preserve">Build Status</x:t>
        </x:is>
      </x:c>
      <x:c r="H1" s="6" t="inlineStr">
        <x:is>
          <x:t xml:space="preserve">Evidence Status</x:t>
        </x:is>
      </x:c>
      <x:c r="I1" s="6" t="inlineStr">
        <x:is>
          <x:t xml:space="preserve">Evidence Source</x:t>
        </x:is>
      </x:c>
      <x:c r="J1" s="6" t="inlineStr">
        <x:is>
          <x:t xml:space="preserve">Confidence %</x:t>
        </x:is>
      </x:c>
      <x:c r="K1" s="6" t="inlineStr">
        <x:is>
          <x:t xml:space="preserve">Dependency</x:t>
        </x:is>
      </x:c>
      <x:c r="L1" s="6" t="inlineStr">
        <x:is>
          <x:t xml:space="preserve">Output Anchor</x:t>
        </x:is>
      </x:c>
      <x:c r="M1" s="6" t="inlineStr">
        <x:is>
          <x:t xml:space="preserve">Validation/Test</x:t>
        </x:is>
      </x:c>
      <x:c r="N1" s="6" t="inlineStr">
        <x:is>
          <x:t xml:space="preserve">Notes</x:t>
        </x:is>
      </x:c>
      <x:c r="O1" s="6" t="inlineStr">
        <x:is>
          <x:t xml:space="preserve">Merge Order</x:t>
        </x:is>
      </x:c>
      <x:c r="P1" s="6" t="inlineStr">
        <x:is>
          <x:t xml:space="preserve">Next Priority</x:t>
        </x:is>
      </x:c>
    </x:row>
    <x:row r="2">
      <x:c r="A2" s="11" t="n">
        <x:v>1</x:v>
      </x:c>
      <x:c r="B2" s="12" t="inlineStr">
        <x:is>
          <x:t xml:space="preserve">M6</x:t>
        </x:is>
      </x:c>
      <x:c r="C2" s="13" t="inlineStr">
        <x:is>
          <x:t xml:space="preserve">Retrieval-backed local assistive loop</x:t>
        </x:is>
      </x:c>
      <x:c r="D2" s="12" t="inlineStr">
        <x:is>
          <x:t xml:space="preserve">Core</x:t>
        </x:is>
      </x:c>
      <x:c r="E2" s="12" t="inlineStr">
        <x:is>
          <x:t xml:space="preserve">Foundation</x:t>
        </x:is>
      </x:c>
      <x:c r="F2" s="12" t="inlineStr">
        <x:is>
          <x:t xml:space="preserve">Agent loop</x:t>
        </x:is>
      </x:c>
      <x:c r="G2" s="12" t="inlineStr">
        <x:is>
          <x:t xml:space="preserve">Built</x:t>
        </x:is>
      </x:c>
      <x:c r="H2" s="12" t="inlineStr">
        <x:is>
          <x:t xml:space="preserve">Validated</x:t>
        </x:is>
      </x:c>
      <x:c r="I2" s="14" t="inlineStr">
        <x:is>
          <x:t xml:space="preserve">Build report + tests</x:t>
        </x:is>
      </x:c>
      <x:c r="J2" s="15" t="n">
        <x:v>0.95</x:v>
      </x:c>
      <x:c r="K2" s="11" t="inlineStr">
        <x:is>
          <x:t xml:space="preserve">-</x:t>
        </x:is>
      </x:c>
      <x:c r="L2" s="11" t="inlineStr">
        <x:is>
          <x:t xml:space="preserve">assist/*</x:t>
        </x:is>
      </x:c>
      <x:c r="M2" s="14" t="inlineStr">
        <x:is>
          <x:t xml:space="preserve">29 tests passed</x:t>
        </x:is>
      </x:c>
      <x:c r="N2" s="14" t="inlineStr">
        <x:is>
          <x:t xml:space="preserve">Core local retrieval agent</x:t>
        </x:is>
      </x:c>
      <x:c r="O2" s="12" t="n">
        <x:v>1</x:v>
      </x:c>
      <x:c r="P2" s="12" t="inlineStr">
        <x:is>
          <x:t xml:space="preserve"/>
        </x:is>
      </x:c>
    </x:row>
    <x:row r="3">
      <x:c r="A3" s="11" t="n">
        <x:v>2</x:v>
      </x:c>
      <x:c r="B3" s="12" t="inlineStr">
        <x:is>
          <x:t xml:space="preserve">M7</x:t>
        </x:is>
      </x:c>
      <x:c r="C3" s="13" t="inlineStr">
        <x:is>
          <x:t xml:space="preserve">Sandboxed artifact materialization</x:t>
        </x:is>
      </x:c>
      <x:c r="D3" s="12" t="inlineStr">
        <x:is>
          <x:t xml:space="preserve">Core</x:t>
        </x:is>
      </x:c>
      <x:c r="E3" s="12" t="inlineStr">
        <x:is>
          <x:t xml:space="preserve">Foundation</x:t>
        </x:is>
      </x:c>
      <x:c r="F3" s="12" t="inlineStr">
        <x:is>
          <x:t xml:space="preserve">Materialize</x:t>
        </x:is>
      </x:c>
      <x:c r="G3" s="12" t="inlineStr">
        <x:is>
          <x:t xml:space="preserve">Built</x:t>
        </x:is>
      </x:c>
      <x:c r="H3" s="12" t="inlineStr">
        <x:is>
          <x:t xml:space="preserve">Validated</x:t>
        </x:is>
      </x:c>
      <x:c r="I3" s="14" t="inlineStr">
        <x:is>
          <x:t xml:space="preserve">Build report + tests</x:t>
        </x:is>
      </x:c>
      <x:c r="J3" s="15" t="n">
        <x:v>0.95</x:v>
      </x:c>
      <x:c r="K3" s="11" t="inlineStr">
        <x:is>
          <x:t xml:space="preserve">M6</x:t>
        </x:is>
      </x:c>
      <x:c r="L3" s="11" t="inlineStr">
        <x:is>
          <x:t xml:space="preserve">materialize/*</x:t>
        </x:is>
      </x:c>
      <x:c r="M3" s="14" t="inlineStr">
        <x:is>
          <x:t xml:space="preserve">17 tests passed</x:t>
        </x:is>
      </x:c>
      <x:c r="N3" s="14" t="inlineStr">
        <x:is>
          <x:t xml:space="preserve">Safe local workspaces</x:t>
        </x:is>
      </x:c>
      <x:c r="O3" s="12" t="n">
        <x:v>2</x:v>
      </x:c>
      <x:c r="P3" s="12" t="inlineStr">
        <x:is>
          <x:t xml:space="preserve"/>
        </x:is>
      </x:c>
    </x:row>
    <x:row r="4">
      <x:c r="A4" s="11" t="n">
        <x:v>3</x:v>
      </x:c>
      <x:c r="B4" s="12" t="inlineStr">
        <x:is>
          <x:t xml:space="preserve">M8</x:t>
        </x:is>
      </x:c>
      <x:c r="C4" s="13" t="inlineStr">
        <x:is>
          <x:t xml:space="preserve">Apply / rollback flow</x:t>
        </x:is>
      </x:c>
      <x:c r="D4" s="12" t="inlineStr">
        <x:is>
          <x:t xml:space="preserve">Core</x:t>
        </x:is>
      </x:c>
      <x:c r="E4" s="12" t="inlineStr">
        <x:is>
          <x:t xml:space="preserve">Foundation</x:t>
        </x:is>
      </x:c>
      <x:c r="F4" s="12" t="inlineStr">
        <x:is>
          <x:t xml:space="preserve">Apply safety</x:t>
        </x:is>
      </x:c>
      <x:c r="G4" s="12" t="inlineStr">
        <x:is>
          <x:t xml:space="preserve">Built</x:t>
        </x:is>
      </x:c>
      <x:c r="H4" s="12" t="inlineStr">
        <x:is>
          <x:t xml:space="preserve">Validated</x:t>
        </x:is>
      </x:c>
      <x:c r="I4" s="14" t="inlineStr">
        <x:is>
          <x:t xml:space="preserve">Build report + tests</x:t>
        </x:is>
      </x:c>
      <x:c r="J4" s="15" t="n">
        <x:v>0.95</x:v>
      </x:c>
      <x:c r="K4" s="11" t="inlineStr">
        <x:is>
          <x:t xml:space="preserve">M7</x:t>
        </x:is>
      </x:c>
      <x:c r="L4" s="11" t="inlineStr">
        <x:is>
          <x:t xml:space="preserve">apply/*</x:t>
        </x:is>
      </x:c>
      <x:c r="M4" s="14" t="inlineStr">
        <x:is>
          <x:t xml:space="preserve">13 tests passed</x:t>
        </x:is>
      </x:c>
      <x:c r="N4" s="14" t="inlineStr">
        <x:is>
          <x:t xml:space="preserve">Explicit apply boundary</x:t>
        </x:is>
      </x:c>
      <x:c r="O4" s="12" t="n">
        <x:v>3</x:v>
      </x:c>
      <x:c r="P4" s="12" t="inlineStr">
        <x:is>
          <x:t xml:space="preserve"/>
        </x:is>
      </x:c>
    </x:row>
    <x:row r="5">
      <x:c r="A5" s="11" t="n">
        <x:v>4</x:v>
      </x:c>
      <x:c r="B5" s="12" t="inlineStr">
        <x:is>
          <x:t xml:space="preserve">M9</x:t>
        </x:is>
      </x:c>
      <x:c r="C5" s="13" t="inlineStr">
        <x:is>
          <x:t xml:space="preserve">Guided local operator console</x:t>
        </x:is>
      </x:c>
      <x:c r="D5" s="12" t="inlineStr">
        <x:is>
          <x:t xml:space="preserve">Core</x:t>
        </x:is>
      </x:c>
      <x:c r="E5" s="12" t="inlineStr">
        <x:is>
          <x:t xml:space="preserve">Foundation</x:t>
        </x:is>
      </x:c>
      <x:c r="F5" s="12" t="inlineStr">
        <x:is>
          <x:t xml:space="preserve">UI shell</x:t>
        </x:is>
      </x:c>
      <x:c r="G5" s="12" t="inlineStr">
        <x:is>
          <x:t xml:space="preserve">Built</x:t>
        </x:is>
      </x:c>
      <x:c r="H5" s="12" t="inlineStr">
        <x:is>
          <x:t xml:space="preserve">Validated</x:t>
        </x:is>
      </x:c>
      <x:c r="I5" s="14" t="inlineStr">
        <x:is>
          <x:t xml:space="preserve">Build report + tests</x:t>
        </x:is>
      </x:c>
      <x:c r="J5" s="15" t="n">
        <x:v>0.95</x:v>
      </x:c>
      <x:c r="K5" s="11" t="inlineStr">
        <x:is>
          <x:t xml:space="preserve">M8</x:t>
        </x:is>
      </x:c>
      <x:c r="L5" s="11" t="inlineStr">
        <x:is>
          <x:t xml:space="preserve">ui/*</x:t>
        </x:is>
      </x:c>
      <x:c r="M5" s="14" t="inlineStr">
        <x:is>
          <x:t xml:space="preserve">22 UI tests passed</x:t>
        </x:is>
      </x:c>
      <x:c r="N5" s="14" t="inlineStr">
        <x:is>
          <x:t xml:space="preserve">Local operator shell</x:t>
        </x:is>
      </x:c>
      <x:c r="O5" s="12" t="n">
        <x:v>4</x:v>
      </x:c>
      <x:c r="P5" s="12" t="inlineStr">
        <x:is>
          <x:t xml:space="preserve"/>
        </x:is>
      </x:c>
    </x:row>
    <x:row r="6">
      <x:c r="A6" s="11" t="n">
        <x:v>5</x:v>
      </x:c>
      <x:c r="B6" s="12" t="inlineStr">
        <x:is>
          <x:t xml:space="preserve">M21O</x:t>
        </x:is>
      </x:c>
      <x:c r="C6" s="13" t="inlineStr">
        <x:is>
          <x:t xml:space="preserve">Pilot graduation criteria + recent cohort view</x:t>
        </x:is>
      </x:c>
      <x:c r="D6" s="12" t="inlineStr">
        <x:is>
          <x:t xml:space="preserve">Core</x:t>
        </x:is>
      </x:c>
      <x:c r="E6" s="12" t="inlineStr">
        <x:is>
          <x:t xml:space="preserve">Pilot / cohort</x:t>
        </x:is>
      </x:c>
      <x:c r="F6" s="12" t="inlineStr">
        <x:is>
          <x:t xml:space="preserve">Pilot control</x:t>
        </x:is>
      </x:c>
      <x:c r="G6" s="12" t="inlineStr">
        <x:is>
          <x:t xml:space="preserve">Built</x:t>
        </x:is>
      </x:c>
      <x:c r="H6" s="12" t="inlineStr">
        <x:is>
          <x:t xml:space="preserve">Validated</x:t>
        </x:is>
      </x:c>
      <x:c r="I6" s="14" t="inlineStr">
        <x:is>
          <x:t xml:space="preserve">Conversation runs + reports</x:t>
        </x:is>
      </x:c>
      <x:c r="J6" s="15" t="n">
        <x:v>0.9</x:v>
      </x:c>
      <x:c r="K6" s="11" t="inlineStr">
        <x:is>
          <x:t xml:space="preserve">M9</x:t>
        </x:is>
      </x:c>
      <x:c r="L6" s="11" t="inlineStr">
        <x:is>
          <x:t xml:space="preserve">pilot aggregate</x:t>
        </x:is>
      </x:c>
      <x:c r="M6" s="14" t="inlineStr">
        <x:is>
          <x:t xml:space="preserve">CLI validated</x:t>
        </x:is>
      </x:c>
      <x:c r="N6" s="14" t="inlineStr">
        <x:is>
          <x:t xml:space="preserve">Recent-cohort recommendation logic</x:t>
        </x:is>
      </x:c>
      <x:c r="O6" s="12" t="n">
        <x:v>5</x:v>
      </x:c>
      <x:c r="P6" s="12" t="inlineStr">
        <x:is>
          <x:t xml:space="preserve"/>
        </x:is>
      </x:c>
    </x:row>
    <x:row r="7">
      <x:c r="A7" s="11" t="n">
        <x:v>6</x:v>
      </x:c>
      <x:c r="B7" s="12" t="inlineStr">
        <x:is>
          <x:t xml:space="preserve">M21P</x:t>
        </x:is>
      </x:c>
      <x:c r="C7" s="13" t="inlineStr">
        <x:is>
          <x:t xml:space="preserve">Narrow pilot hardening / pilot reporting</x:t>
        </x:is>
      </x:c>
      <x:c r="D7" s="12" t="inlineStr">
        <x:is>
          <x:t xml:space="preserve">Core</x:t>
        </x:is>
      </x:c>
      <x:c r="E7" s="12" t="inlineStr">
        <x:is>
          <x:t xml:space="preserve">Pilot / cohort</x:t>
        </x:is>
      </x:c>
      <x:c r="F7" s="12" t="inlineStr">
        <x:is>
          <x:t xml:space="preserve">Pilot control</x:t>
        </x:is>
      </x:c>
      <x:c r="G7" s="12" t="inlineStr">
        <x:is>
          <x:t xml:space="preserve">Built</x:t>
        </x:is>
      </x:c>
      <x:c r="H7" s="12" t="inlineStr">
        <x:is>
          <x:t xml:space="preserve">Validated</x:t>
        </x:is>
      </x:c>
      <x:c r="I7" s="14" t="inlineStr">
        <x:is>
          <x:t xml:space="preserve">Build report</x:t>
        </x:is>
      </x:c>
      <x:c r="J7" s="15" t="n">
        <x:v>0.85</x:v>
      </x:c>
      <x:c r="K7" s="11" t="inlineStr">
        <x:is>
          <x:t xml:space="preserve">M21O</x:t>
        </x:is>
      </x:c>
      <x:c r="L7" s="11" t="inlineStr">
        <x:is>
          <x:t xml:space="preserve">pilot reports</x:t>
        </x:is>
      </x:c>
      <x:c r="M7" s="14" t="inlineStr">
        <x:is>
          <x:t xml:space="preserve">Operational evidence</x:t>
        </x:is>
      </x:c>
      <x:c r="N7" s="14" t="inlineStr">
        <x:is>
          <x:t xml:space="preserve">Pilot evidence aggregation</x:t>
        </x:is>
      </x:c>
      <x:c r="O7" s="12" t="n">
        <x:v>6</x:v>
      </x:c>
      <x:c r="P7" s="12" t="inlineStr">
        <x:is>
          <x:t xml:space="preserve"/>
        </x:is>
      </x:c>
    </x:row>
    <x:row r="8">
      <x:c r="A8" s="11" t="n">
        <x:v>7</x:v>
      </x:c>
      <x:c r="B8" s="12" t="inlineStr">
        <x:is>
          <x:t xml:space="preserve">M21Q</x:t>
        </x:is>
      </x:c>
      <x:c r="C8" s="13" t="inlineStr">
        <x:is>
          <x:t xml:space="preserve">Broader controlled pilot cohort execution</x:t>
        </x:is>
      </x:c>
      <x:c r="D8" s="12" t="inlineStr">
        <x:is>
          <x:t xml:space="preserve">Core</x:t>
        </x:is>
      </x:c>
      <x:c r="E8" s="12" t="inlineStr">
        <x:is>
          <x:t xml:space="preserve">Pilot / cohort</x:t>
        </x:is>
      </x:c>
      <x:c r="F8" s="12" t="inlineStr">
        <x:is>
          <x:t xml:space="preserve">Cohort control</x:t>
        </x:is>
      </x:c>
      <x:c r="G8" s="12" t="inlineStr">
        <x:is>
          <x:t xml:space="preserve">Built</x:t>
        </x:is>
      </x:c>
      <x:c r="H8" s="12" t="inlineStr">
        <x:is>
          <x:t xml:space="preserve">Validated</x:t>
        </x:is>
      </x:c>
      <x:c r="I8" s="14" t="inlineStr">
        <x:is>
          <x:t xml:space="preserve">Conversation runs</x:t>
        </x:is>
      </x:c>
      <x:c r="J8" s="15" t="n">
        <x:v>0.9</x:v>
      </x:c>
      <x:c r="K8" s="11" t="inlineStr">
        <x:is>
          <x:t xml:space="preserve">M21P</x:t>
        </x:is>
      </x:c>
      <x:c r="L8" s="11" t="inlineStr">
        <x:is>
          <x:t xml:space="preserve">cohort-status</x:t>
        </x:is>
      </x:c>
      <x:c r="M8" s="14" t="inlineStr">
        <x:is>
          <x:t xml:space="preserve">CLI validated</x:t>
        </x:is>
      </x:c>
      <x:c r="N8" s="14" t="inlineStr">
        <x:is>
          <x:t xml:space="preserve">Graduated to broader cohort</x:t>
        </x:is>
      </x:c>
      <x:c r="O8" s="12" t="n">
        <x:v>7</x:v>
      </x:c>
      <x:c r="P8" s="12" t="inlineStr">
        <x:is>
          <x:t xml:space="preserve"/>
        </x:is>
      </x:c>
    </x:row>
    <x:row r="9">
      <x:c r="A9" s="11" t="n">
        <x:v>8</x:v>
      </x:c>
      <x:c r="B9" s="12" t="inlineStr">
        <x:is>
          <x:t xml:space="preserve">M21R</x:t>
        </x:is>
      </x:c>
      <x:c r="C9" s="13" t="inlineStr">
        <x:is>
          <x:t xml:space="preserve">Ops Reporting Suite v1</x:t>
        </x:is>
      </x:c>
      <x:c r="D9" s="12" t="inlineStr">
        <x:is>
          <x:t xml:space="preserve">Core</x:t>
        </x:is>
      </x:c>
      <x:c r="E9" s="12" t="inlineStr">
        <x:is>
          <x:t xml:space="preserve">Workflow suite</x:t>
        </x:is>
      </x:c>
      <x:c r="F9" s="12" t="inlineStr">
        <x:is>
          <x:t xml:space="preserve">Workflow family</x:t>
        </x:is>
      </x:c>
      <x:c r="G9" s="12" t="inlineStr">
        <x:is>
          <x:t xml:space="preserve">Built</x:t>
        </x:is>
      </x:c>
      <x:c r="H9" s="12" t="inlineStr">
        <x:is>
          <x:t xml:space="preserve">Validated</x:t>
        </x:is>
      </x:c>
      <x:c r="I9" s="14" t="inlineStr">
        <x:is>
          <x:t xml:space="preserve">Conversation runs</x:t>
        </x:is>
      </x:c>
      <x:c r="J9" s="15" t="n">
        <x:v>0.9</x:v>
      </x:c>
      <x:c r="K9" s="11" t="inlineStr">
        <x:is>
          <x:t xml:space="preserve">M21Q</x:t>
        </x:is>
      </x:c>
      <x:c r="L9" s="11" t="inlineStr">
        <x:is>
          <x:t xml:space="preserve">weekly_status + bundles</x:t>
        </x:is>
      </x:c>
      <x:c r="M9" s="14" t="inlineStr">
        <x:is>
          <x:t xml:space="preserve">Pilot feedback</x:t>
        </x:is>
      </x:c>
      <x:c r="N9" s="14" t="inlineStr">
        <x:is>
          <x:t xml:space="preserve">Weekly + bundle workflows</x:t>
        </x:is>
      </x:c>
      <x:c r="O9" s="12" t="n">
        <x:v>8</x:v>
      </x:c>
      <x:c r="P9" s="12" t="inlineStr">
        <x:is>
          <x:t xml:space="preserve"/>
        </x:is>
      </x:c>
    </x:row>
    <x:row r="10">
      <x:c r="A10" s="11" t="n">
        <x:v>9</x:v>
      </x:c>
      <x:c r="B10" s="12" t="inlineStr">
        <x:is>
          <x:t xml:space="preserve">M21S</x:t>
        </x:is>
      </x:c>
      <x:c r="C10" s="13" t="inlineStr">
        <x:is>
          <x:t xml:space="preserve">Ops Reporting Workspace v2</x:t>
        </x:is>
      </x:c>
      <x:c r="D10" s="12" t="inlineStr">
        <x:is>
          <x:t xml:space="preserve">Core</x:t>
        </x:is>
      </x:c>
      <x:c r="E10" s="12" t="inlineStr">
        <x:is>
          <x:t xml:space="preserve">Workflow suite</x:t>
        </x:is>
      </x:c>
      <x:c r="F10" s="12" t="inlineStr">
        <x:is>
          <x:t xml:space="preserve">Workspace</x:t>
        </x:is>
      </x:c>
      <x:c r="G10" s="12" t="inlineStr">
        <x:is>
          <x:t xml:space="preserve">Built</x:t>
        </x:is>
      </x:c>
      <x:c r="H10" s="12" t="inlineStr">
        <x:is>
          <x:t xml:space="preserve">Validated</x:t>
        </x:is>
      </x:c>
      <x:c r="I10" s="14" t="inlineStr">
        <x:is>
          <x:t xml:space="preserve">Build report + docs</x:t>
        </x:is>
      </x:c>
      <x:c r="J10" s="15" t="n">
        <x:v>0.92</x:v>
      </x:c>
      <x:c r="K10" s="11" t="inlineStr">
        <x:is>
          <x:t xml:space="preserve">M21R</x:t>
        </x:is>
      </x:c>
      <x:c r="L10" s="11" t="inlineStr">
        <x:is>
          <x:t xml:space="preserve">ops_reporting_workspace</x:t>
        </x:is>
      </x:c>
      <x:c r="M10" s="14" t="inlineStr">
        <x:is>
          <x:t xml:space="preserve">Docs + manifests</x:t>
        </x:is>
      </x:c>
      <x:c r="N10" s="14" t="inlineStr">
        <x:is>
          <x:t xml:space="preserve">Unified reporting workspace</x:t>
        </x:is>
      </x:c>
      <x:c r="O10" s="12" t="n">
        <x:v>9</x:v>
      </x:c>
      <x:c r="P10" s="12" t="inlineStr">
        <x:is>
          <x:t xml:space="preserve"/>
        </x:is>
      </x:c>
    </x:row>
    <x:row r="11">
      <x:c r="A11" s="11" t="n">
        <x:v>10</x:v>
      </x:c>
      <x:c r="B11" s="12" t="inlineStr">
        <x:is>
          <x:t xml:space="preserve">A2</x:t>
        </x:is>
      </x:c>
      <x:c r="C11" s="13" t="inlineStr">
        <x:is>
          <x:t xml:space="preserve">Input packs + schema hardening</x:t>
        </x:is>
      </x:c>
      <x:c r="D11" s="12" t="inlineStr">
        <x:is>
          <x:t xml:space="preserve">Core</x:t>
        </x:is>
      </x:c>
      <x:c r="E11" s="12" t="inlineStr">
        <x:is>
          <x:t xml:space="preserve">Workflow suite</x:t>
        </x:is>
      </x:c>
      <x:c r="F11" s="12" t="inlineStr">
        <x:is>
          <x:t xml:space="preserve">Workspace upgrade</x:t>
        </x:is>
      </x:c>
      <x:c r="G11" s="12" t="inlineStr">
        <x:is>
          <x:t xml:space="preserve">Built</x:t>
        </x:is>
      </x:c>
      <x:c r="H11" s="12" t="inlineStr">
        <x:is>
          <x:t xml:space="preserve">Validated</x:t>
        </x:is>
      </x:c>
      <x:c r="I11" s="14" t="inlineStr">
        <x:is>
          <x:t xml:space="preserve">Build report + docs</x:t>
        </x:is>
      </x:c>
      <x:c r="J11" s="15" t="n">
        <x:v>0.9</x:v>
      </x:c>
      <x:c r="K11" s="11" t="inlineStr">
        <x:is>
          <x:t xml:space="preserve">M21S</x:t>
        </x:is>
      </x:c>
      <x:c r="L11" s="11" t="inlineStr">
        <x:is>
          <x:t xml:space="preserve">input_packs</x:t>
        </x:is>
      </x:c>
      <x:c r="M11" s="14" t="inlineStr">
        <x:is>
          <x:t xml:space="preserve">Docs</x:t>
        </x:is>
      </x:c>
      <x:c r="N11" s="14" t="inlineStr">
        <x:is>
          <x:t xml:space="preserve">Stronger inputs + schema</x:t>
        </x:is>
      </x:c>
      <x:c r="O11" s="12" t="n">
        <x:v>10</x:v>
      </x:c>
      <x:c r="P11" s="12" t="inlineStr">
        <x:is>
          <x:t xml:space="preserve"/>
        </x:is>
      </x:c>
    </x:row>
    <x:row r="12">
      <x:c r="A12" s="11" t="n">
        <x:v>11</x:v>
      </x:c>
      <x:c r="B12" s="12" t="inlineStr">
        <x:is>
          <x:t xml:space="preserve">A3</x:t>
        </x:is>
      </x:c>
      <x:c r="C12" s="13" t="inlineStr">
        <x:is>
          <x:t xml:space="preserve">Workspace rerun / diff / timeline</x:t>
        </x:is>
      </x:c>
      <x:c r="D12" s="12" t="inlineStr">
        <x:is>
          <x:t xml:space="preserve">Core</x:t>
        </x:is>
      </x:c>
      <x:c r="E12" s="12" t="inlineStr">
        <x:is>
          <x:t xml:space="preserve">Workflow suite</x:t>
        </x:is>
      </x:c>
      <x:c r="F12" s="12" t="inlineStr">
        <x:is>
          <x:t xml:space="preserve">Workspace upgrade</x:t>
        </x:is>
      </x:c>
      <x:c r="G12" s="12" t="inlineStr">
        <x:is>
          <x:t xml:space="preserve">Built</x:t>
        </x:is>
      </x:c>
      <x:c r="H12" s="12" t="inlineStr">
        <x:is>
          <x:t xml:space="preserve">Validated</x:t>
        </x:is>
      </x:c>
      <x:c r="I12" s="14" t="inlineStr">
        <x:is>
          <x:t xml:space="preserve">Merged docs + report</x:t>
        </x:is>
      </x:c>
      <x:c r="J12" s="15" t="n">
        <x:v>0.9</x:v>
      </x:c>
      <x:c r="K12" s="11" t="inlineStr">
        <x:is>
          <x:t xml:space="preserve">A2</x:t>
        </x:is>
      </x:c>
      <x:c r="L12" s="11" t="inlineStr">
        <x:is>
          <x:t xml:space="preserve">workspace_rerun_diff</x:t>
        </x:is>
      </x:c>
      <x:c r="M12" s="14" t="inlineStr">
        <x:is>
          <x:t xml:space="preserve">Tests cited</x:t>
        </x:is>
      </x:c>
      <x:c r="N12" s="14" t="inlineStr">
        <x:is>
          <x:t xml:space="preserve">Repeatability + provenance</x:t>
        </x:is>
      </x:c>
      <x:c r="O12" s="12" t="n">
        <x:v>11</x:v>
      </x:c>
      <x:c r="P12" s="12" t="inlineStr">
        <x:is>
          <x:t xml:space="preserve"/>
        </x:is>
      </x:c>
    </x:row>
    <x:row r="13">
      <x:c r="A13" s="11" t="n">
        <x:v>12</x:v>
      </x:c>
      <x:c r="B13" s="12" t="inlineStr">
        <x:is>
          <x:t xml:space="preserve">A4</x:t>
        </x:is>
      </x:c>
      <x:c r="C13" s="13" t="inlineStr">
        <x:is>
          <x:t xml:space="preserve">Export contracts + handoff spec</x:t>
        </x:is>
      </x:c>
      <x:c r="D13" s="12" t="inlineStr">
        <x:is>
          <x:t xml:space="preserve">Core</x:t>
        </x:is>
      </x:c>
      <x:c r="E13" s="12" t="inlineStr">
        <x:is>
          <x:t xml:space="preserve">Workflow suite</x:t>
        </x:is>
      </x:c>
      <x:c r="F13" s="12" t="inlineStr">
        <x:is>
          <x:t xml:space="preserve">Workspace upgrade</x:t>
        </x:is>
      </x:c>
      <x:c r="G13" s="12" t="inlineStr">
        <x:is>
          <x:t xml:space="preserve">Built</x:t>
        </x:is>
      </x:c>
      <x:c r="H13" s="12" t="inlineStr">
        <x:is>
          <x:t xml:space="preserve">Validated</x:t>
        </x:is>
      </x:c>
      <x:c r="I13" s="14" t="inlineStr">
        <x:is>
          <x:t xml:space="preserve">Merged docs + report</x:t>
        </x:is>
      </x:c>
      <x:c r="J13" s="15" t="n">
        <x:v>0.9</x:v>
      </x:c>
      <x:c r="K13" s="11" t="inlineStr">
        <x:is>
          <x:t xml:space="preserve">A3</x:t>
        </x:is>
      </x:c>
      <x:c r="L13" s="11" t="inlineStr">
        <x:is>
          <x:t xml:space="preserve">export_contract</x:t>
        </x:is>
      </x:c>
      <x:c r="M13" s="14" t="inlineStr">
        <x:is>
          <x:t xml:space="preserve">Docs cited</x:t>
        </x:is>
      </x:c>
      <x:c r="N13" s="14" t="inlineStr">
        <x:is>
          <x:t xml:space="preserve">Downstream contract stability</x:t>
        </x:is>
      </x:c>
      <x:c r="O13" s="12" t="n">
        <x:v>12</x:v>
      </x:c>
      <x:c r="P13" s="12" t="inlineStr">
        <x:is>
          <x:t xml:space="preserve"/>
        </x:is>
      </x:c>
    </x:row>
    <x:row r="14">
      <x:c r="A14" s="11" t="n">
        <x:v>13</x:v>
      </x:c>
      <x:c r="B14" s="12" t="inlineStr">
        <x:is>
          <x:t xml:space="preserve">M21T</x:t>
        </x:is>
      </x:c>
      <x:c r="C14" s="13" t="inlineStr">
        <x:is>
          <x:t xml:space="preserve">Review queue + publishable package</x:t>
        </x:is>
      </x:c>
      <x:c r="D14" s="12" t="inlineStr">
        <x:is>
          <x:t xml:space="preserve">Pane 4</x:t>
        </x:is>
      </x:c>
      <x:c r="E14" s="12" t="inlineStr">
        <x:is>
          <x:t xml:space="preserve">Operator surface</x:t>
        </x:is>
      </x:c>
      <x:c r="F14" s="12" t="inlineStr">
        <x:is>
          <x:t xml:space="preserve">Review / package</x:t>
        </x:is>
      </x:c>
      <x:c r="G14" s="12" t="inlineStr">
        <x:is>
          <x:t xml:space="preserve">Built</x:t>
        </x:is>
      </x:c>
      <x:c r="H14" s="12" t="inlineStr">
        <x:is>
          <x:t xml:space="preserve">Validated</x:t>
        </x:is>
      </x:c>
      <x:c r="I14" s="14" t="inlineStr">
        <x:is>
          <x:t xml:space="preserve">Build report</x:t>
        </x:is>
      </x:c>
      <x:c r="J14" s="15" t="n">
        <x:v>0.88</x:v>
      </x:c>
      <x:c r="K14" s="11" t="inlineStr">
        <x:is>
          <x:t xml:space="preserve">M21S</x:t>
        </x:is>
      </x:c>
      <x:c r="L14" s="11" t="inlineStr">
        <x:is>
          <x:t xml:space="preserve">review/*</x:t>
        </x:is>
      </x:c>
      <x:c r="M14" s="14" t="inlineStr">
        <x:is>
          <x:t xml:space="preserve">Operational report</x:t>
        </x:is>
      </x:c>
      <x:c r="N14" s="14" t="inlineStr">
        <x:is>
          <x:t xml:space="preserve">Approve artifacts + build package</x:t>
        </x:is>
      </x:c>
      <x:c r="O14" s="12" t="n">
        <x:v>13</x:v>
      </x:c>
      <x:c r="P14" s="12" t="inlineStr">
        <x:is>
          <x:t xml:space="preserve"/>
        </x:is>
      </x:c>
    </x:row>
    <x:row r="15">
      <x:c r="A15" s="11" t="n">
        <x:v>14</x:v>
      </x:c>
      <x:c r="B15" s="16" t="inlineStr">
        <x:is>
          <x:t xml:space="preserve">M21T-F2</x:t>
        </x:is>
      </x:c>
      <x:c r="C15" s="17" t="inlineStr">
        <x:is>
          <x:t xml:space="preserve">Revision loop + package compare</x:t>
        </x:is>
      </x:c>
      <x:c r="D15" s="16" t="inlineStr">
        <x:is>
          <x:t xml:space="preserve">Pane 4</x:t>
        </x:is>
      </x:c>
      <x:c r="E15" s="16" t="inlineStr">
        <x:is>
          <x:t xml:space="preserve">Operator surface</x:t>
        </x:is>
      </x:c>
      <x:c r="F15" s="16" t="inlineStr">
        <x:is>
          <x:t xml:space="preserve">Review / package</x:t>
        </x:is>
      </x:c>
      <x:c r="G15" s="16" t="inlineStr">
        <x:is>
          <x:t xml:space="preserve">Built</x:t>
        </x:is>
      </x:c>
      <x:c r="H15" s="16" t="inlineStr">
        <x:is>
          <x:t xml:space="preserve">Assumed complete</x:t>
        </x:is>
      </x:c>
      <x:c r="I15" s="14" t="inlineStr">
        <x:is>
          <x:t xml:space="preserve">User instruction: assume queued prompts executed</x:t>
        </x:is>
      </x:c>
      <x:c r="J15" s="18" t="n">
        <x:v>0.72</x:v>
      </x:c>
      <x:c r="K15" s="11" t="inlineStr">
        <x:is>
          <x:t xml:space="preserve">M21T</x:t>
        </x:is>
      </x:c>
      <x:c r="L15" s="11" t="inlineStr">
        <x:is>
          <x:t xml:space="preserve">package_compare</x:t>
        </x:is>
      </x:c>
      <x:c r="M15" s="14" t="inlineStr">
        <x:is>
          <x:t xml:space="preserve">Assumed queue complete</x:t>
        </x:is>
      </x:c>
      <x:c r="N15" s="14" t="inlineStr">
        <x:is>
          <x:t xml:space="preserve">Revision lineage + compare</x:t>
        </x:is>
      </x:c>
      <x:c r="O15" s="16" t="n">
        <x:v>14</x:v>
      </x:c>
      <x:c r="P15" s="16" t="inlineStr">
        <x:is>
          <x:t xml:space="preserve"/>
        </x:is>
      </x:c>
    </x:row>
    <x:row r="16">
      <x:c r="A16" s="11" t="n">
        <x:v>15</x:v>
      </x:c>
      <x:c r="B16" s="12" t="inlineStr">
        <x:is>
          <x:t xml:space="preserve">M21U</x:t>
        </x:is>
      </x:c>
      <x:c r="C16" s="13" t="inlineStr">
        <x:is>
          <x:t xml:space="preserve">Local reporting command center</x:t>
        </x:is>
      </x:c>
      <x:c r="D16" s="12" t="inlineStr">
        <x:is>
          <x:t xml:space="preserve">Pane 4</x:t>
        </x:is>
      </x:c>
      <x:c r="E16" s="12" t="inlineStr">
        <x:is>
          <x:t xml:space="preserve">Operator surface</x:t>
        </x:is>
      </x:c>
      <x:c r="F16" s="12" t="inlineStr">
        <x:is>
          <x:t xml:space="preserve">Dashboard</x:t>
        </x:is>
      </x:c>
      <x:c r="G16" s="12" t="inlineStr">
        <x:is>
          <x:t xml:space="preserve">Built</x:t>
        </x:is>
      </x:c>
      <x:c r="H16" s="12" t="inlineStr">
        <x:is>
          <x:t xml:space="preserve">Validated</x:t>
        </x:is>
      </x:c>
      <x:c r="I16" s="14" t="inlineStr">
        <x:is>
          <x:t xml:space="preserve">Build report</x:t>
        </x:is>
      </x:c>
      <x:c r="J16" s="15" t="n">
        <x:v>0.88</x:v>
      </x:c>
      <x:c r="K16" s="11" t="inlineStr">
        <x:is>
          <x:t xml:space="preserve">M21T</x:t>
        </x:is>
      </x:c>
      <x:c r="L16" s="11" t="inlineStr">
        <x:is>
          <x:t xml:space="preserve">dashboard</x:t>
        </x:is>
      </x:c>
      <x:c r="M16" s="14" t="inlineStr">
        <x:is>
          <x:t xml:space="preserve">Dashboard real</x:t>
        </x:is>
      </x:c>
      <x:c r="N16" s="14" t="inlineStr">
        <x:is>
          <x:t xml:space="preserve">Readiness + workspaces + packages</x:t>
        </x:is>
      </x:c>
      <x:c r="O16" s="12" t="n">
        <x:v>15</x:v>
      </x:c>
      <x:c r="P16" s="12" t="inlineStr">
        <x:is>
          <x:t xml:space="preserve"/>
        </x:is>
      </x:c>
    </x:row>
    <x:row r="17">
      <x:c r="A17" s="11" t="n">
        <x:v>16</x:v>
      </x:c>
      <x:c r="B17" s="16" t="inlineStr">
        <x:is>
          <x:t xml:space="preserve">C2</x:t>
        </x:is>
      </x:c>
      <x:c r="C17" s="17" t="inlineStr">
        <x:is>
          <x:t xml:space="preserve">Dashboard drill-downs + workflow filters</x:t>
        </x:is>
      </x:c>
      <x:c r="D17" s="16" t="inlineStr">
        <x:is>
          <x:t xml:space="preserve">Pane 4</x:t>
        </x:is>
      </x:c>
      <x:c r="E17" s="16" t="inlineStr">
        <x:is>
          <x:t xml:space="preserve">Operator surface</x:t>
        </x:is>
      </x:c>
      <x:c r="F17" s="16" t="inlineStr">
        <x:is>
          <x:t xml:space="preserve">Dashboard</x:t>
        </x:is>
      </x:c>
      <x:c r="G17" s="16" t="inlineStr">
        <x:is>
          <x:t xml:space="preserve">Built</x:t>
        </x:is>
      </x:c>
      <x:c r="H17" s="16" t="inlineStr">
        <x:is>
          <x:t xml:space="preserve">Assumed complete</x:t>
        </x:is>
      </x:c>
      <x:c r="I17" s="14" t="inlineStr">
        <x:is>
          <x:t xml:space="preserve">User instruction: assume queued prompts executed</x:t>
        </x:is>
      </x:c>
      <x:c r="J17" s="18" t="n">
        <x:v>0.7</x:v>
      </x:c>
      <x:c r="K17" s="11" t="inlineStr">
        <x:is>
          <x:t xml:space="preserve">M21U</x:t>
        </x:is>
      </x:c>
      <x:c r="L17" s="11" t="inlineStr">
        <x:is>
          <x:t xml:space="preserve">dashboard drill-downs</x:t>
        </x:is>
      </x:c>
      <x:c r="M17" s="14" t="inlineStr">
        <x:is>
          <x:t xml:space="preserve">Assumed queue complete</x:t>
        </x:is>
      </x:c>
      <x:c r="N17" s="14" t="inlineStr">
        <x:is>
          <x:t xml:space="preserve">Filters + detail views</x:t>
        </x:is>
      </x:c>
      <x:c r="O17" s="16" t="n">
        <x:v>16</x:v>
      </x:c>
      <x:c r="P17" s="16" t="inlineStr">
        <x:is>
          <x:t xml:space="preserve"/>
        </x:is>
      </x:c>
    </x:row>
    <x:row r="18">
      <x:c r="A18" s="11" t="n">
        <x:v>17</x:v>
      </x:c>
      <x:c r="B18" s="12" t="inlineStr">
        <x:is>
          <x:t xml:space="preserve">C3</x:t>
        </x:is>
      </x:c>
      <x:c r="C18" s="13" t="inlineStr">
        <x:is>
          <x:t xml:space="preserve">Cohort alert strip</x:t>
        </x:is>
      </x:c>
      <x:c r="D18" s="12" t="inlineStr">
        <x:is>
          <x:t xml:space="preserve">Pane 4</x:t>
        </x:is>
      </x:c>
      <x:c r="E18" s="12" t="inlineStr">
        <x:is>
          <x:t xml:space="preserve">Operator surface</x:t>
        </x:is>
      </x:c>
      <x:c r="F18" s="12" t="inlineStr">
        <x:is>
          <x:t xml:space="preserve">Dashboard</x:t>
        </x:is>
      </x:c>
      <x:c r="G18" s="12" t="inlineStr">
        <x:is>
          <x:t xml:space="preserve">Built</x:t>
        </x:is>
      </x:c>
      <x:c r="H18" s="12" t="inlineStr">
        <x:is>
          <x:t xml:space="preserve">Validated</x:t>
        </x:is>
      </x:c>
      <x:c r="I18" s="14" t="inlineStr">
        <x:is>
          <x:t xml:space="preserve">Merged docs</x:t>
        </x:is>
      </x:c>
      <x:c r="J18" s="15" t="n">
        <x:v>0.85</x:v>
      </x:c>
      <x:c r="K18" s="11" t="inlineStr">
        <x:is>
          <x:t xml:space="preserve">M21U</x:t>
        </x:is>
      </x:c>
      <x:c r="L18" s="11" t="inlineStr">
        <x:is>
          <x:t xml:space="preserve">cohort alert strip</x:t>
        </x:is>
      </x:c>
      <x:c r="M18" s="14" t="inlineStr">
        <x:is>
          <x:t xml:space="preserve">Docs cited</x:t>
        </x:is>
      </x:c>
      <x:c r="N18" s="14" t="inlineStr">
        <x:is>
          <x:t xml:space="preserve">Cohort-aware alerts</x:t>
        </x:is>
      </x:c>
      <x:c r="O18" s="12" t="n">
        <x:v>17</x:v>
      </x:c>
      <x:c r="P18" s="12" t="inlineStr">
        <x:is>
          <x:t xml:space="preserve"/>
        </x:is>
      </x:c>
    </x:row>
    <x:row r="19">
      <x:c r="A19" s="11" t="n">
        <x:v>18</x:v>
      </x:c>
      <x:c r="B19" s="12" t="inlineStr">
        <x:is>
          <x:t xml:space="preserve">C4</x:t>
        </x:is>
      </x:c>
      <x:c r="C19" s="13" t="inlineStr">
        <x:is>
          <x:t xml:space="preserve">Dashboard action macros</x:t>
        </x:is>
      </x:c>
      <x:c r="D19" s="12" t="inlineStr">
        <x:is>
          <x:t xml:space="preserve">Pane 4</x:t>
        </x:is>
      </x:c>
      <x:c r="E19" s="12" t="inlineStr">
        <x:is>
          <x:t xml:space="preserve">Operator surface</x:t>
        </x:is>
      </x:c>
      <x:c r="F19" s="12" t="inlineStr">
        <x:is>
          <x:t xml:space="preserve">Dashboard</x:t>
        </x:is>
      </x:c>
      <x:c r="G19" s="12" t="inlineStr">
        <x:is>
          <x:t xml:space="preserve">Built</x:t>
        </x:is>
      </x:c>
      <x:c r="H19" s="12" t="inlineStr">
        <x:is>
          <x:t xml:space="preserve">Validated</x:t>
        </x:is>
      </x:c>
      <x:c r="I19" s="14" t="inlineStr">
        <x:is>
          <x:t xml:space="preserve">Merged docs</x:t>
        </x:is>
      </x:c>
      <x:c r="J19" s="15" t="n">
        <x:v>0.85</x:v>
      </x:c>
      <x:c r="K19" s="11" t="inlineStr">
        <x:is>
          <x:t xml:space="preserve">C3</x:t>
        </x:is>
      </x:c>
      <x:c r="L19" s="11" t="inlineStr">
        <x:is>
          <x:t xml:space="preserve">dashboard macros</x:t>
        </x:is>
      </x:c>
      <x:c r="M19" s="14" t="inlineStr">
        <x:is>
          <x:t xml:space="preserve">Docs cited</x:t>
        </x:is>
      </x:c>
      <x:c r="N19" s="14" t="inlineStr">
        <x:is>
          <x:t xml:space="preserve">Shortcut actions from dashboard</x:t>
        </x:is>
      </x:c>
      <x:c r="O19" s="12" t="n">
        <x:v>18</x:v>
      </x:c>
      <x:c r="P19" s="12" t="inlineStr">
        <x:is>
          <x:t xml:space="preserve"/>
        </x:is>
      </x:c>
    </x:row>
    <x:row r="20">
      <x:c r="A20" s="11" t="n">
        <x:v>19</x:v>
      </x:c>
      <x:c r="B20" s="12" t="inlineStr">
        <x:is>
          <x:t xml:space="preserve">M21V</x:t>
        </x:is>
      </x:c>
      <x:c r="C20" s="13" t="inlineStr">
        <x:is>
          <x:t xml:space="preserve">Apply-plan staging board</x:t>
        </x:is>
      </x:c>
      <x:c r="D20" s="12" t="inlineStr">
        <x:is>
          <x:t xml:space="preserve">Pane 4</x:t>
        </x:is>
      </x:c>
      <x:c r="E20" s="12" t="inlineStr">
        <x:is>
          <x:t xml:space="preserve">Operator surface</x:t>
        </x:is>
      </x:c>
      <x:c r="F20" s="12" t="inlineStr">
        <x:is>
          <x:t xml:space="preserve">Staging</x:t>
        </x:is>
      </x:c>
      <x:c r="G20" s="12" t="inlineStr">
        <x:is>
          <x:t xml:space="preserve">Built</x:t>
        </x:is>
      </x:c>
      <x:c r="H20" s="12" t="inlineStr">
        <x:is>
          <x:t xml:space="preserve">Validated</x:t>
        </x:is>
      </x:c>
      <x:c r="I20" s="14" t="inlineStr">
        <x:is>
          <x:t xml:space="preserve">Build report</x:t>
        </x:is>
      </x:c>
      <x:c r="J20" s="15" t="n">
        <x:v>0.88</x:v>
      </x:c>
      <x:c r="K20" s="11" t="inlineStr">
        <x:is>
          <x:t xml:space="preserve">M21T</x:t>
        </x:is>
      </x:c>
      <x:c r="L20" s="11" t="inlineStr">
        <x:is>
          <x:t xml:space="preserve">staging board</x:t>
        </x:is>
      </x:c>
      <x:c r="M20" s="14" t="inlineStr">
        <x:is>
          <x:t xml:space="preserve">Build report</x:t>
        </x:is>
      </x:c>
      <x:c r="N20" s="14" t="inlineStr">
        <x:is>
          <x:t xml:space="preserve">Stage before apply-preview</x:t>
        </x:is>
      </x:c>
      <x:c r="O20" s="12" t="n">
        <x:v>19</x:v>
      </x:c>
      <x:c r="P20" s="12" t="inlineStr">
        <x:is>
          <x:t xml:space="preserve"/>
        </x:is>
      </x:c>
    </x:row>
    <x:row r="21">
      <x:c r="A21" s="11" t="n">
        <x:v>20</x:v>
      </x:c>
      <x:c r="B21" s="16" t="inlineStr">
        <x:is>
          <x:t xml:space="preserve">M21W-F1</x:t>
        </x:is>
      </x:c>
      <x:c r="C21" s="17" t="inlineStr">
        <x:is>
          <x:t xml:space="preserve">Curated repo intake + multi-provider devlab</x:t>
        </x:is>
      </x:c>
      <x:c r="D21" s="16" t="inlineStr">
        <x:is>
          <x:t xml:space="preserve">Pane 5</x:t>
        </x:is>
      </x:c>
      <x:c r="E21" s="16" t="inlineStr">
        <x:is>
          <x:t xml:space="preserve">Dev flywheel</x:t>
        </x:is>
      </x:c>
      <x:c r="F21" s="16" t="inlineStr">
        <x:is>
          <x:t xml:space="preserve">DevLab</x:t>
        </x:is>
      </x:c>
      <x:c r="G21" s="16" t="inlineStr">
        <x:is>
          <x:t xml:space="preserve">Built</x:t>
        </x:is>
      </x:c>
      <x:c r="H21" s="16" t="inlineStr">
        <x:is>
          <x:t xml:space="preserve">Assumed complete</x:t>
        </x:is>
      </x:c>
      <x:c r="I21" s="14" t="inlineStr">
        <x:is>
          <x:t xml:space="preserve">User instruction: assume queued prompts executed</x:t>
        </x:is>
      </x:c>
      <x:c r="J21" s="18" t="n">
        <x:v>0.7</x:v>
      </x:c>
      <x:c r="K21" s="11" t="inlineStr">
        <x:is>
          <x:t xml:space="preserve">M21U</x:t>
        </x:is>
      </x:c>
      <x:c r="L21" s="11" t="inlineStr">
        <x:is>
          <x:t xml:space="preserve">devlab/*</x:t>
        </x:is>
      </x:c>
      <x:c r="M21" s="14" t="inlineStr">
        <x:is>
          <x:t xml:space="preserve">Assumed queue complete</x:t>
        </x:is>
      </x:c>
      <x:c r="N21" s="14" t="inlineStr">
        <x:is>
          <x:t xml:space="preserve">Sandbox repo intake + model compare</x:t>
        </x:is>
      </x:c>
      <x:c r="O21" s="16" t="n">
        <x:v>20</x:v>
      </x:c>
      <x:c r="P21" s="16" t="inlineStr">
        <x:is>
          <x:t xml:space="preserve"/>
        </x:is>
      </x:c>
    </x:row>
    <x:row r="22">
      <x:c r="A22" s="11" t="n">
        <x:v>21</x:v>
      </x:c>
      <x:c r="B22" s="16" t="inlineStr">
        <x:is>
          <x:t xml:space="preserve">M21W-F2</x:t>
        </x:is>
      </x:c>
      <x:c r="C22" s="17" t="inlineStr">
        <x:is>
          <x:t xml:space="preserve">Repo scoring + license/risk triage</x:t>
        </x:is>
      </x:c>
      <x:c r="D22" s="16" t="inlineStr">
        <x:is>
          <x:t xml:space="preserve">Pane 5</x:t>
        </x:is>
      </x:c>
      <x:c r="E22" s="16" t="inlineStr">
        <x:is>
          <x:t xml:space="preserve">Dev flywheel</x:t>
        </x:is>
      </x:c>
      <x:c r="F22" s="16" t="inlineStr">
        <x:is>
          <x:t xml:space="preserve">DevLab</x:t>
        </x:is>
      </x:c>
      <x:c r="G22" s="16" t="inlineStr">
        <x:is>
          <x:t xml:space="preserve">Built</x:t>
        </x:is>
      </x:c>
      <x:c r="H22" s="16" t="inlineStr">
        <x:is>
          <x:t xml:space="preserve">Assumed complete</x:t>
        </x:is>
      </x:c>
      <x:c r="I22" s="14" t="inlineStr">
        <x:is>
          <x:t xml:space="preserve">User instruction: assume queued prompts executed</x:t>
        </x:is>
      </x:c>
      <x:c r="J22" s="18" t="n">
        <x:v>0.68</x:v>
      </x:c>
      <x:c r="K22" s="11" t="inlineStr">
        <x:is>
          <x:t xml:space="preserve">M21W-F1</x:t>
        </x:is>
      </x:c>
      <x:c r="L22" s="11" t="inlineStr">
        <x:is>
          <x:t xml:space="preserve">repo scoring</x:t>
        </x:is>
      </x:c>
      <x:c r="M22" s="14" t="inlineStr">
        <x:is>
          <x:t xml:space="preserve">Assumed queue complete</x:t>
        </x:is>
      </x:c>
      <x:c r="N22" s="14" t="inlineStr">
        <x:is>
          <x:t xml:space="preserve">Ranked shortlist for reuse</x:t>
        </x:is>
      </x:c>
      <x:c r="O22" s="16" t="n">
        <x:v>21</x:v>
      </x:c>
      <x:c r="P22" s="16" t="inlineStr">
        <x:is>
          <x:t xml:space="preserve"/>
        </x:is>
      </x:c>
    </x:row>
    <x:row r="23">
      <x:c r="A23" s="11" t="n">
        <x:v>22</x:v>
      </x:c>
      <x:c r="B23" s="12" t="inlineStr">
        <x:is>
          <x:t xml:space="preserve">M21W-F3</x:t>
        </x:is>
      </x:c>
      <x:c r="C23" s="13" t="inlineStr">
        <x:is>
          <x:t xml:space="preserve">Proposal generator from repo intake + model compare</x:t>
        </x:is>
      </x:c>
      <x:c r="D23" s="12" t="inlineStr">
        <x:is>
          <x:t xml:space="preserve">Pane 5</x:t>
        </x:is>
      </x:c>
      <x:c r="E23" s="12" t="inlineStr">
        <x:is>
          <x:t xml:space="preserve">Dev flywheel</x:t>
        </x:is>
      </x:c>
      <x:c r="F23" s="12" t="inlineStr">
        <x:is>
          <x:t xml:space="preserve">Planning</x:t>
        </x:is>
      </x:c>
      <x:c r="G23" s="12" t="inlineStr">
        <x:is>
          <x:t xml:space="preserve">Built</x:t>
        </x:is>
      </x:c>
      <x:c r="H23" s="12" t="inlineStr">
        <x:is>
          <x:t xml:space="preserve">Validated</x:t>
        </x:is>
      </x:c>
      <x:c r="I23" s="14" t="inlineStr">
        <x:is>
          <x:t xml:space="preserve">Merged docs D3 + runbooks</x:t>
        </x:is>
      </x:c>
      <x:c r="J23" s="15" t="n">
        <x:v>0.82</x:v>
      </x:c>
      <x:c r="K23" s="11" t="inlineStr">
        <x:is>
          <x:t xml:space="preserve">M21W-F2</x:t>
        </x:is>
      </x:c>
      <x:c r="L23" s="11" t="inlineStr">
        <x:is>
          <x:t xml:space="preserve">proposal generator</x:t>
        </x:is>
      </x:c>
      <x:c r="M23" s="14" t="inlineStr">
        <x:is>
          <x:t xml:space="preserve">Runbooks present</x:t>
        </x:is>
      </x:c>
      <x:c r="N23" s="14" t="inlineStr">
        <x:is>
          <x:t xml:space="preserve">Cursor-ready proposals</x:t>
        </x:is>
      </x:c>
      <x:c r="O23" s="12" t="n">
        <x:v>22</x:v>
      </x:c>
      <x:c r="P23" s="12" t="inlineStr">
        <x:is>
          <x:t xml:space="preserve"/>
        </x:is>
      </x:c>
    </x:row>
    <x:row r="24">
      <x:c r="A24" s="11" t="n">
        <x:v>23</x:v>
      </x:c>
      <x:c r="B24" s="16" t="inlineStr">
        <x:is>
          <x:t xml:space="preserve">M21X-F1</x:t>
        </x:is>
      </x:c>
      <x:c r="C24" s="17" t="inlineStr">
        <x:is>
          <x:t xml:space="preserve">Local eval harness + benchmark board bridge</x:t>
        </x:is>
      </x:c>
      <x:c r="D24" s="16" t="inlineStr">
        <x:is>
          <x:t xml:space="preserve">Pane 5</x:t>
        </x:is>
      </x:c>
      <x:c r="E24" s="16" t="inlineStr">
        <x:is>
          <x:t xml:space="preserve">Dev flywheel</x:t>
        </x:is>
      </x:c>
      <x:c r="F24" s="16" t="inlineStr">
        <x:is>
          <x:t xml:space="preserve">Evaluation</x:t>
        </x:is>
      </x:c>
      <x:c r="G24" s="16" t="inlineStr">
        <x:is>
          <x:t xml:space="preserve">Built</x:t>
        </x:is>
      </x:c>
      <x:c r="H24" s="16" t="inlineStr">
        <x:is>
          <x:t xml:space="preserve">Assumed complete</x:t>
        </x:is>
      </x:c>
      <x:c r="I24" s="14" t="inlineStr">
        <x:is>
          <x:t xml:space="preserve">User instruction: assume queued prompts executed</x:t>
        </x:is>
      </x:c>
      <x:c r="J24" s="18" t="n">
        <x:v>0.68</x:v>
      </x:c>
      <x:c r="K24" s="11" t="inlineStr">
        <x:is>
          <x:t xml:space="preserve">M21W-F3</x:t>
        </x:is>
      </x:c>
      <x:c r="L24" s="11" t="inlineStr">
        <x:is>
          <x:t xml:space="preserve">eval/*</x:t>
        </x:is>
      </x:c>
      <x:c r="M24" s="14" t="inlineStr">
        <x:is>
          <x:t xml:space="preserve">Assumed queue complete</x:t>
        </x:is>
      </x:c>
      <x:c r="N24" s="14" t="inlineStr">
        <x:is>
          <x:t xml:space="preserve">Workflow eval and benchmark board</x:t>
        </x:is>
      </x:c>
      <x:c r="O24" s="16" t="n">
        <x:v>23</x:v>
      </x:c>
      <x:c r="P24" s="16" t="inlineStr">
        <x:is>
          <x:t xml:space="preserve"/>
        </x:is>
      </x:c>
    </x:row>
    <x:row r="25">
      <x:c r="A25" s="11" t="n">
        <x:v>24</x:v>
      </x:c>
      <x:c r="B25" s="12" t="inlineStr">
        <x:is>
          <x:t xml:space="preserve">M22B</x:t>
        </x:is>
      </x:c>
      <x:c r="C25" s="13" t="inlineStr">
        <x:is>
          <x:t xml:space="preserve">Mission control / product foundry</x:t>
        </x:is>
      </x:c>
      <x:c r="D25" s="12" t="inlineStr">
        <x:is>
          <x:t xml:space="preserve">Core</x:t>
        </x:is>
      </x:c>
      <x:c r="E25" s="12" t="inlineStr">
        <x:is>
          <x:t xml:space="preserve">Governance</x:t>
        </x:is>
      </x:c>
      <x:c r="F25" s="12" t="inlineStr">
        <x:is>
          <x:t xml:space="preserve">Mission control</x:t>
        </x:is>
      </x:c>
      <x:c r="G25" s="12" t="inlineStr">
        <x:is>
          <x:t xml:space="preserve">Built</x:t>
        </x:is>
      </x:c>
      <x:c r="H25" s="12" t="inlineStr">
        <x:is>
          <x:t xml:space="preserve">Validated</x:t>
        </x:is>
      </x:c>
      <x:c r="I25" s="14" t="inlineStr">
        <x:is>
          <x:t xml:space="preserve">Build report + tests</x:t>
        </x:is>
      </x:c>
      <x:c r="J25" s="15" t="n">
        <x:v>0.9</x:v>
      </x:c>
      <x:c r="K25" s="11" t="inlineStr">
        <x:is>
          <x:t xml:space="preserve">M21X-F1</x:t>
        </x:is>
      </x:c>
      <x:c r="L25" s="11" t="inlineStr">
        <x:is>
          <x:t xml:space="preserve">mission_control/*</x:t>
        </x:is>
      </x:c>
      <x:c r="M25" s="14" t="inlineStr">
        <x:is>
          <x:t xml:space="preserve">4 tests passed</x:t>
        </x:is>
      </x:c>
      <x:c r="N25" s="14" t="inlineStr">
        <x:is>
          <x:t xml:space="preserve">Unified internal control plane</x:t>
        </x:is>
      </x:c>
      <x:c r="O25" s="12" t="n">
        <x:v>24</x:v>
      </x:c>
      <x:c r="P25" s="12" t="inlineStr">
        <x:is>
          <x:t xml:space="preserve"/>
        </x:is>
      </x:c>
    </x:row>
    <x:row r="26">
      <x:c r="A26" s="11" t="n">
        <x:v>25</x:v>
      </x:c>
      <x:c r="B26" s="12" t="inlineStr">
        <x:is>
          <x:t xml:space="preserve">M22C</x:t>
        </x:is>
      </x:c>
      <x:c r="C26" s="13" t="inlineStr">
        <x:is>
          <x:t xml:space="preserve">Role-based review lanes</x:t>
        </x:is>
      </x:c>
      <x:c r="D26" s="12" t="inlineStr">
        <x:is>
          <x:t xml:space="preserve">Pane 4</x:t>
        </x:is>
      </x:c>
      <x:c r="E26" s="12" t="inlineStr">
        <x:is>
          <x:t xml:space="preserve">Operator surface</x:t>
        </x:is>
      </x:c>
      <x:c r="F26" s="12" t="inlineStr">
        <x:is>
          <x:t xml:space="preserve">Review lanes</x:t>
        </x:is>
      </x:c>
      <x:c r="G26" s="12" t="inlineStr">
        <x:is>
          <x:t xml:space="preserve">Built</x:t>
        </x:is>
      </x:c>
      <x:c r="H26" s="12" t="inlineStr">
        <x:is>
          <x:t xml:space="preserve">Validated</x:t>
        </x:is>
      </x:c>
      <x:c r="I26" s="14" t="inlineStr">
        <x:is>
          <x:t xml:space="preserve">Build report + tests</x:t>
        </x:is>
      </x:c>
      <x:c r="J26" s="15" t="n">
        <x:v>0.88</x:v>
      </x:c>
      <x:c r="K26" s="11" t="inlineStr">
        <x:is>
          <x:t xml:space="preserve">M21T</x:t>
        </x:is>
      </x:c>
      <x:c r="L26" s="11" t="inlineStr">
        <x:is>
          <x:t xml:space="preserve">review lanes</x:t>
        </x:is>
      </x:c>
      <x:c r="M26" s="14" t="inlineStr">
        <x:is>
          <x:t xml:space="preserve">9 tests passed</x:t>
        </x:is>
      </x:c>
      <x:c r="N26" s="14" t="inlineStr">
        <x:is>
          <x:t xml:space="preserve">operator/reviewer/approver lanes</x:t>
        </x:is>
      </x:c>
      <x:c r="O26" s="12" t="n">
        <x:v>25</x:v>
      </x:c>
      <x:c r="P26" s="12" t="inlineStr">
        <x:is>
          <x:t xml:space="preserve"/>
        </x:is>
      </x:c>
    </x:row>
    <x:row r="27">
      <x:c r="A27" s="11" t="n">
        <x:v>26</x:v>
      </x:c>
      <x:c r="B27" s="12" t="inlineStr">
        <x:is>
          <x:t xml:space="preserve">M22D</x:t>
        </x:is>
      </x:c>
      <x:c r="C27" s="13" t="inlineStr">
        <x:is>
          <x:t xml:space="preserve">Local knowledge intake center</x:t>
        </x:is>
      </x:c>
      <x:c r="D27" s="12" t="inlineStr">
        <x:is>
          <x:t xml:space="preserve">Pane 5</x:t>
        </x:is>
      </x:c>
      <x:c r="E27" s="12" t="inlineStr">
        <x:is>
          <x:t xml:space="preserve">Workflow suite</x:t>
        </x:is>
      </x:c>
      <x:c r="F27" s="12" t="inlineStr">
        <x:is>
          <x:t xml:space="preserve">Input ingestion</x:t>
        </x:is>
      </x:c>
      <x:c r="G27" s="12" t="inlineStr">
        <x:is>
          <x:t xml:space="preserve">Built</x:t>
        </x:is>
      </x:c>
      <x:c r="H27" s="12" t="inlineStr">
        <x:is>
          <x:t xml:space="preserve">Validated</x:t>
        </x:is>
      </x:c>
      <x:c r="I27" s="14" t="inlineStr">
        <x:is>
          <x:t xml:space="preserve">Build report + tests</x:t>
        </x:is>
      </x:c>
      <x:c r="J27" s="15" t="n">
        <x:v>0.88</x:v>
      </x:c>
      <x:c r="K27" s="11" t="inlineStr">
        <x:is>
          <x:t xml:space="preserve">M21S</x:t>
        </x:is>
      </x:c>
      <x:c r="L27" s="11" t="inlineStr">
        <x:is>
          <x:t xml:space="preserve">intake/*</x:t>
        </x:is>
      </x:c>
      <x:c r="M27" s="14" t="inlineStr">
        <x:is>
          <x:t xml:space="preserve">7 tests passed</x:t>
        </x:is>
      </x:c>
      <x:c r="N27" s="14" t="inlineStr">
        <x:is>
          <x:t xml:space="preserve">User-owned inputs only</x:t>
        </x:is>
      </x:c>
      <x:c r="O27" s="12" t="n">
        <x:v>26</x:v>
      </x:c>
      <x:c r="P27" s="12" t="inlineStr">
        <x:is>
          <x:t xml:space="preserve"/>
        </x:is>
      </x:c>
    </x:row>
    <x:row r="28">
      <x:c r="A28" s="11" t="n">
        <x:v>27</x:v>
      </x:c>
      <x:c r="B28" s="12" t="inlineStr">
        <x:is>
          <x:t xml:space="preserve">M22E</x:t>
        </x:is>
      </x:c>
      <x:c r="C28" s="13" t="inlineStr">
        <x:is>
          <x:t xml:space="preserve">Workflow composer + template studio</x:t>
        </x:is>
      </x:c>
      <x:c r="D28" s="12" t="inlineStr">
        <x:is>
          <x:t xml:space="preserve">Pane 1</x:t>
        </x:is>
      </x:c>
      <x:c r="E28" s="12" t="inlineStr">
        <x:is>
          <x:t xml:space="preserve">Workflow composition</x:t>
        </x:is>
      </x:c>
      <x:c r="F28" s="12" t="inlineStr">
        <x:is>
          <x:t xml:space="preserve">Templates</x:t>
        </x:is>
      </x:c>
      <x:c r="G28" s="12" t="inlineStr">
        <x:is>
          <x:t xml:space="preserve">Built</x:t>
        </x:is>
      </x:c>
      <x:c r="H28" s="12" t="inlineStr">
        <x:is>
          <x:t xml:space="preserve">Validated</x:t>
        </x:is>
      </x:c>
      <x:c r="I28" s="14" t="inlineStr">
        <x:is>
          <x:t xml:space="preserve">Build report + tests</x:t>
        </x:is>
      </x:c>
      <x:c r="J28" s="15" t="n">
        <x:v>0.88</x:v>
      </x:c>
      <x:c r="K28" s="11" t="inlineStr">
        <x:is>
          <x:t xml:space="preserve">M21S</x:t>
        </x:is>
      </x:c>
      <x:c r="L28" s="11" t="inlineStr">
        <x:is>
          <x:t xml:space="preserve">templates/*</x:t>
        </x:is>
      </x:c>
      <x:c r="M28" s="14" t="inlineStr">
        <x:is>
          <x:t xml:space="preserve">9 tests passed</x:t>
        </x:is>
      </x:c>
      <x:c r="N28" s="14" t="inlineStr">
        <x:is>
          <x:t xml:space="preserve">Base template system</x:t>
        </x:is>
      </x:c>
      <x:c r="O28" s="12" t="n">
        <x:v>27</x:v>
      </x:c>
      <x:c r="P28" s="12" t="inlineStr">
        <x:is>
          <x:t xml:space="preserve"/>
        </x:is>
      </x:c>
    </x:row>
    <x:row r="29">
      <x:c r="A29" s="11" t="n">
        <x:v>28</x:v>
      </x:c>
      <x:c r="B29" s="12" t="inlineStr">
        <x:is>
          <x:t xml:space="preserve">M22E-F2</x:t>
        </x:is>
      </x:c>
      <x:c r="C29" s="13" t="inlineStr">
        <x:is>
          <x:t xml:space="preserve">Template versioning + validation</x:t>
        </x:is>
      </x:c>
      <x:c r="D29" s="12" t="inlineStr">
        <x:is>
          <x:t xml:space="preserve">Pane 1</x:t>
        </x:is>
      </x:c>
      <x:c r="E29" s="12" t="inlineStr">
        <x:is>
          <x:t xml:space="preserve">Workflow composition</x:t>
        </x:is>
      </x:c>
      <x:c r="F29" s="12" t="inlineStr">
        <x:is>
          <x:t xml:space="preserve">Templates</x:t>
        </x:is>
      </x:c>
      <x:c r="G29" s="12" t="inlineStr">
        <x:is>
          <x:t xml:space="preserve">Built</x:t>
        </x:is>
      </x:c>
      <x:c r="H29" s="12" t="inlineStr">
        <x:is>
          <x:t xml:space="preserve">Validated</x:t>
        </x:is>
      </x:c>
      <x:c r="I29" s="14" t="inlineStr">
        <x:is>
          <x:t xml:space="preserve">Merged docs</x:t>
        </x:is>
      </x:c>
      <x:c r="J29" s="15" t="n">
        <x:v>0.82</x:v>
      </x:c>
      <x:c r="K29" s="11" t="inlineStr">
        <x:is>
          <x:t xml:space="preserve">M22E</x:t>
        </x:is>
      </x:c>
      <x:c r="L29" s="11" t="inlineStr">
        <x:is>
          <x:t xml:space="preserve">template reports</x:t>
        </x:is>
      </x:c>
      <x:c r="M29" s="14" t="inlineStr">
        <x:is>
          <x:t xml:space="preserve">Docs cited</x:t>
        </x:is>
      </x:c>
      <x:c r="N29" s="14" t="inlineStr">
        <x:is>
          <x:t xml:space="preserve">Version + compatibility status</x:t>
        </x:is>
      </x:c>
      <x:c r="O29" s="12" t="n">
        <x:v>28</x:v>
      </x:c>
      <x:c r="P29" s="12" t="inlineStr">
        <x:is>
          <x:t xml:space="preserve"/>
        </x:is>
      </x:c>
    </x:row>
    <x:row r="30">
      <x:c r="A30" s="11" t="n">
        <x:v>29</x:v>
      </x:c>
      <x:c r="B30" s="16" t="inlineStr">
        <x:is>
          <x:t xml:space="preserve">M22E-F3</x:t>
        </x:is>
      </x:c>
      <x:c r="C30" s="17" t="inlineStr">
        <x:is>
          <x:t xml:space="preserve">Template import/export + typed params</x:t>
        </x:is>
      </x:c>
      <x:c r="D30" s="16" t="inlineStr">
        <x:is>
          <x:t xml:space="preserve">Pane 1</x:t>
        </x:is>
      </x:c>
      <x:c r="E30" s="16" t="inlineStr">
        <x:is>
          <x:t xml:space="preserve">Workflow composition</x:t>
        </x:is>
      </x:c>
      <x:c r="F30" s="16" t="inlineStr">
        <x:is>
          <x:t xml:space="preserve">Templates</x:t>
        </x:is>
      </x:c>
      <x:c r="G30" s="16" t="inlineStr">
        <x:is>
          <x:t xml:space="preserve">Built</x:t>
        </x:is>
      </x:c>
      <x:c r="H30" s="16" t="inlineStr">
        <x:is>
          <x:t xml:space="preserve">Assumed complete</x:t>
        </x:is>
      </x:c>
      <x:c r="I30" s="14" t="inlineStr">
        <x:is>
          <x:t xml:space="preserve">User instruction: assume queued prompts executed</x:t>
        </x:is>
      </x:c>
      <x:c r="J30" s="18" t="n">
        <x:v>0.7</x:v>
      </x:c>
      <x:c r="K30" s="11" t="inlineStr">
        <x:is>
          <x:t xml:space="preserve">M22E-F2</x:t>
        </x:is>
      </x:c>
      <x:c r="L30" s="11" t="inlineStr">
        <x:is>
          <x:t xml:space="preserve">template import/export</x:t>
        </x:is>
      </x:c>
      <x:c r="M30" s="14" t="inlineStr">
        <x:is>
          <x:t xml:space="preserve">Assumed queue complete</x:t>
        </x:is>
      </x:c>
      <x:c r="N30" s="14" t="inlineStr">
        <x:is>
          <x:t xml:space="preserve">Portable templates + params</x:t>
        </x:is>
      </x:c>
      <x:c r="O30" s="16" t="n">
        <x:v>29</x:v>
      </x:c>
      <x:c r="P30" s="16" t="inlineStr">
        <x:is>
          <x:t xml:space="preserve"/>
        </x:is>
      </x:c>
    </x:row>
    <x:row r="31">
      <x:c r="A31" s="11" t="n">
        <x:v>30</x:v>
      </x:c>
      <x:c r="B31" s="16" t="inlineStr">
        <x:is>
          <x:t xml:space="preserve">M22E-F4</x:t>
        </x:is>
      </x:c>
      <x:c r="C31" s="17" t="inlineStr">
        <x:is>
          <x:t xml:space="preserve">Built-in template library</x:t>
        </x:is>
      </x:c>
      <x:c r="D31" s="16" t="inlineStr">
        <x:is>
          <x:t xml:space="preserve">Pane 1</x:t>
        </x:is>
      </x:c>
      <x:c r="E31" s="16" t="inlineStr">
        <x:is>
          <x:t xml:space="preserve">Workflow composition</x:t>
        </x:is>
      </x:c>
      <x:c r="F31" s="16" t="inlineStr">
        <x:is>
          <x:t xml:space="preserve">Templates</x:t>
        </x:is>
      </x:c>
      <x:c r="G31" s="16" t="inlineStr">
        <x:is>
          <x:t xml:space="preserve">Built</x:t>
        </x:is>
      </x:c>
      <x:c r="H31" s="16" t="inlineStr">
        <x:is>
          <x:t xml:space="preserve">Assumed complete</x:t>
        </x:is>
      </x:c>
      <x:c r="I31" s="14" t="inlineStr">
        <x:is>
          <x:t xml:space="preserve">User instruction: assume queued prompts executed</x:t>
        </x:is>
      </x:c>
      <x:c r="J31" s="18" t="n">
        <x:v>0.68</x:v>
      </x:c>
      <x:c r="K31" s="11" t="inlineStr">
        <x:is>
          <x:t xml:space="preserve">M22E-F3</x:t>
        </x:is>
      </x:c>
      <x:c r="L31" s="11" t="inlineStr">
        <x:is>
          <x:t xml:space="preserve">template library</x:t>
        </x:is>
      </x:c>
      <x:c r="M31" s="14" t="inlineStr">
        <x:is>
          <x:t xml:space="preserve">Assumed queue complete</x:t>
        </x:is>
      </x:c>
      <x:c r="N31" s="14" t="inlineStr">
        <x:is>
          <x:t xml:space="preserve">Starter packs + examples</x:t>
        </x:is>
      </x:c>
      <x:c r="O31" s="16" t="n">
        <x:v>30</x:v>
      </x:c>
      <x:c r="P31" s="16" t="inlineStr">
        <x:is>
          <x:t xml:space="preserve"/>
        </x:is>
      </x:c>
    </x:row>
    <x:row r="32">
      <x:c r="A32" s="11" t="n">
        <x:v>31</x:v>
      </x:c>
      <x:c r="B32" s="16" t="inlineStr">
        <x:is>
          <x:t xml:space="preserve">M22E-F5</x:t>
        </x:is>
      </x:c>
      <x:c r="C32" s="17" t="inlineStr">
        <x:is>
          <x:t xml:space="preserve">Template testing harness</x:t>
        </x:is>
      </x:c>
      <x:c r="D32" s="16" t="inlineStr">
        <x:is>
          <x:t xml:space="preserve">Pane 1</x:t>
        </x:is>
      </x:c>
      <x:c r="E32" s="16" t="inlineStr">
        <x:is>
          <x:t xml:space="preserve">Workflow composition</x:t>
        </x:is>
      </x:c>
      <x:c r="F32" s="16" t="inlineStr">
        <x:is>
          <x:t xml:space="preserve">Templates</x:t>
        </x:is>
      </x:c>
      <x:c r="G32" s="16" t="inlineStr">
        <x:is>
          <x:t xml:space="preserve">Built</x:t>
        </x:is>
      </x:c>
      <x:c r="H32" s="16" t="inlineStr">
        <x:is>
          <x:t xml:space="preserve">Assumed complete</x:t>
        </x:is>
      </x:c>
      <x:c r="I32" s="14" t="inlineStr">
        <x:is>
          <x:t xml:space="preserve">User instruction: assume queued prompts executed</x:t>
        </x:is>
      </x:c>
      <x:c r="J32" s="18" t="n">
        <x:v>0.66</x:v>
      </x:c>
      <x:c r="K32" s="11" t="inlineStr">
        <x:is>
          <x:t xml:space="preserve">M22E-F4</x:t>
        </x:is>
      </x:c>
      <x:c r="L32" s="11" t="inlineStr">
        <x:is>
          <x:t xml:space="preserve">template tests</x:t>
        </x:is>
      </x:c>
      <x:c r="M32" s="14" t="inlineStr">
        <x:is>
          <x:t xml:space="preserve">Assumed queue complete</x:t>
        </x:is>
      </x:c>
      <x:c r="N32" s="14" t="inlineStr">
        <x:is>
          <x:t xml:space="preserve">Golden fixture checks</x:t>
        </x:is>
      </x:c>
      <x:c r="O32" s="16" t="n">
        <x:v>31</x:v>
      </x:c>
      <x:c r="P32" s="16" t="inlineStr">
        <x:is>
          <x:t xml:space="preserve"/>
        </x:is>
      </x:c>
    </x:row>
    <x:row r="33">
      <x:c r="A33" s="11" t="n">
        <x:v>32</x:v>
      </x:c>
      <x:c r="B33" s="16" t="inlineStr">
        <x:is>
          <x:t xml:space="preserve">M22E-F6</x:t>
        </x:is>
      </x:c>
      <x:c r="C33" s="17" t="inlineStr">
        <x:is>
          <x:t xml:space="preserve">Template hooks into cohort/workspace reports</x:t>
        </x:is>
      </x:c>
      <x:c r="D33" s="16" t="inlineStr">
        <x:is>
          <x:t xml:space="preserve">Pane 1</x:t>
        </x:is>
      </x:c>
      <x:c r="E33" s="16" t="inlineStr">
        <x:is>
          <x:t xml:space="preserve">Workflow composition</x:t>
        </x:is>
      </x:c>
      <x:c r="F33" s="16" t="inlineStr">
        <x:is>
          <x:t xml:space="preserve">Templates</x:t>
        </x:is>
      </x:c>
      <x:c r="G33" s="16" t="inlineStr">
        <x:is>
          <x:t xml:space="preserve">Built</x:t>
        </x:is>
      </x:c>
      <x:c r="H33" s="16" t="inlineStr">
        <x:is>
          <x:t xml:space="preserve">Assumed complete</x:t>
        </x:is>
      </x:c>
      <x:c r="I33" s="14" t="inlineStr">
        <x:is>
          <x:t xml:space="preserve">User instruction: assume queued prompts executed</x:t>
        </x:is>
      </x:c>
      <x:c r="J33" s="18" t="n">
        <x:v>0.66</x:v>
      </x:c>
      <x:c r="K33" s="11" t="inlineStr">
        <x:is>
          <x:t xml:space="preserve">M22E-F5</x:t>
        </x:is>
      </x:c>
      <x:c r="L33" s="11" t="inlineStr">
        <x:is>
          <x:t xml:space="preserve">template usage hooks</x:t>
        </x:is>
      </x:c>
      <x:c r="M33" s="14" t="inlineStr">
        <x:is>
          <x:t xml:space="preserve">Assumed queue complete</x:t>
        </x:is>
      </x:c>
      <x:c r="N33" s="14" t="inlineStr">
        <x:is>
          <x:t xml:space="preserve">Trace template usage</x:t>
        </x:is>
      </x:c>
      <x:c r="O33" s="16" t="n">
        <x:v>32</x:v>
      </x:c>
      <x:c r="P33" s="16" t="inlineStr">
        <x:is>
          <x:t xml:space="preserve"/>
        </x:is>
      </x:c>
    </x:row>
    <x:row r="34">
      <x:c r="A34" s="11" t="n">
        <x:v>33</x:v>
      </x:c>
      <x:c r="B34" s="12" t="inlineStr">
        <x:is>
          <x:t xml:space="preserve">M23A</x:t>
        </x:is>
      </x:c>
      <x:c r="C34" s="13" t="inlineStr">
        <x:is>
          <x:t xml:space="preserve">Internal agent chain lab</x:t>
        </x:is>
      </x:c>
      <x:c r="D34" s="12" t="inlineStr">
        <x:is>
          <x:t xml:space="preserve">Pane 2</x:t>
        </x:is>
      </x:c>
      <x:c r="E34" s="12" t="inlineStr">
        <x:is>
          <x:t xml:space="preserve">Automation lab</x:t>
        </x:is>
      </x:c>
      <x:c r="F34" s="12" t="inlineStr">
        <x:is>
          <x:t xml:space="preserve">Chains</x:t>
        </x:is>
      </x:c>
      <x:c r="G34" s="12" t="inlineStr">
        <x:is>
          <x:t xml:space="preserve">Built</x:t>
        </x:is>
      </x:c>
      <x:c r="H34" s="12" t="inlineStr">
        <x:is>
          <x:t xml:space="preserve">Validated</x:t>
        </x:is>
      </x:c>
      <x:c r="I34" s="14" t="inlineStr">
        <x:is>
          <x:t xml:space="preserve">Build report + tests</x:t>
        </x:is>
      </x:c>
      <x:c r="J34" s="15" t="n">
        <x:v>0.88</x:v>
      </x:c>
      <x:c r="K34" s="11" t="inlineStr">
        <x:is>
          <x:t xml:space="preserve">M22E</x:t>
        </x:is>
      </x:c>
      <x:c r="L34" s="11" t="inlineStr">
        <x:is>
          <x:t xml:space="preserve">chain/*</x:t>
        </x:is>
      </x:c>
      <x:c r="M34" s="14" t="inlineStr">
        <x:is>
          <x:t xml:space="preserve">10 tests passed</x:t>
        </x:is>
      </x:c>
      <x:c r="N34" s="14" t="inlineStr">
        <x:is>
          <x:t xml:space="preserve">Base chain lab</x:t>
        </x:is>
      </x:c>
      <x:c r="O34" s="12" t="n">
        <x:v>33</x:v>
      </x:c>
      <x:c r="P34" s="12" t="inlineStr">
        <x:is>
          <x:t xml:space="preserve"/>
        </x:is>
      </x:c>
    </x:row>
    <x:row r="35">
      <x:c r="A35" s="11" t="n">
        <x:v>34</x:v>
      </x:c>
      <x:c r="B35" s="12" t="inlineStr">
        <x:is>
          <x:t xml:space="preserve">M23A-F2</x:t>
        </x:is>
      </x:c>
      <x:c r="C35" s="13" t="inlineStr">
        <x:is>
          <x:t xml:space="preserve">Step contracts + failure handling</x:t>
        </x:is>
      </x:c>
      <x:c r="D35" s="12" t="inlineStr">
        <x:is>
          <x:t xml:space="preserve">Pane 2</x:t>
        </x:is>
      </x:c>
      <x:c r="E35" s="12" t="inlineStr">
        <x:is>
          <x:t xml:space="preserve">Automation lab</x:t>
        </x:is>
      </x:c>
      <x:c r="F35" s="12" t="inlineStr">
        <x:is>
          <x:t xml:space="preserve">Chains</x:t>
        </x:is>
      </x:c>
      <x:c r="G35" s="12" t="inlineStr">
        <x:is>
          <x:t xml:space="preserve">Built</x:t>
        </x:is>
      </x:c>
      <x:c r="H35" s="12" t="inlineStr">
        <x:is>
          <x:t xml:space="preserve">Validated</x:t>
        </x:is>
      </x:c>
      <x:c r="I35" s="14" t="inlineStr">
        <x:is>
          <x:t xml:space="preserve">Merged docs</x:t>
        </x:is>
      </x:c>
      <x:c r="J35" s="15" t="n">
        <x:v>0.82</x:v>
      </x:c>
      <x:c r="K35" s="11" t="inlineStr">
        <x:is>
          <x:t xml:space="preserve">M23A</x:t>
        </x:is>
      </x:c>
      <x:c r="L35" s="11" t="inlineStr">
        <x:is>
          <x:t xml:space="preserve">chain contracts</x:t>
        </x:is>
      </x:c>
      <x:c r="M35" s="14" t="inlineStr">
        <x:is>
          <x:t xml:space="preserve">Docs cited</x:t>
        </x:is>
      </x:c>
      <x:c r="N35" s="14" t="inlineStr">
        <x:is>
          <x:t xml:space="preserve">Reliable chain execution</x:t>
        </x:is>
      </x:c>
      <x:c r="O35" s="12" t="n">
        <x:v>34</x:v>
      </x:c>
      <x:c r="P35" s="12" t="inlineStr">
        <x:is>
          <x:t xml:space="preserve"/>
        </x:is>
      </x:c>
    </x:row>
    <x:row r="36">
      <x:c r="A36" s="11" t="n">
        <x:v>35</x:v>
      </x:c>
      <x:c r="B36" s="16" t="inlineStr">
        <x:is>
          <x:t xml:space="preserve">M23A-F3</x:t>
        </x:is>
      </x:c>
      <x:c r="C36" s="17" t="inlineStr">
        <x:is>
          <x:t xml:space="preserve">Chain templates + run history</x:t>
        </x:is>
      </x:c>
      <x:c r="D36" s="16" t="inlineStr">
        <x:is>
          <x:t xml:space="preserve">Pane 2</x:t>
        </x:is>
      </x:c>
      <x:c r="E36" s="16" t="inlineStr">
        <x:is>
          <x:t xml:space="preserve">Automation lab</x:t>
        </x:is>
      </x:c>
      <x:c r="F36" s="16" t="inlineStr">
        <x:is>
          <x:t xml:space="preserve">Chains</x:t>
        </x:is>
      </x:c>
      <x:c r="G36" s="16" t="inlineStr">
        <x:is>
          <x:t xml:space="preserve">Built</x:t>
        </x:is>
      </x:c>
      <x:c r="H36" s="16" t="inlineStr">
        <x:is>
          <x:t xml:space="preserve">Assumed complete</x:t>
        </x:is>
      </x:c>
      <x:c r="I36" s="14" t="inlineStr">
        <x:is>
          <x:t xml:space="preserve">User instruction: assume queued prompts executed</x:t>
        </x:is>
      </x:c>
      <x:c r="J36" s="18" t="n">
        <x:v>0.7</x:v>
      </x:c>
      <x:c r="K36" s="11" t="inlineStr">
        <x:is>
          <x:t xml:space="preserve">M23A-F2</x:t>
        </x:is>
      </x:c>
      <x:c r="L36" s="11" t="inlineStr">
        <x:is>
          <x:t xml:space="preserve">chain library</x:t>
        </x:is>
      </x:c>
      <x:c r="M36" s="14" t="inlineStr">
        <x:is>
          <x:t xml:space="preserve">Assumed queue complete</x:t>
        </x:is>
      </x:c>
      <x:c r="N36" s="14" t="inlineStr">
        <x:is>
          <x:t xml:space="preserve">Reusable chain library</x:t>
        </x:is>
      </x:c>
      <x:c r="O36" s="16" t="n">
        <x:v>35</x:v>
      </x:c>
      <x:c r="P36" s="16" t="inlineStr">
        <x:is>
          <x:t xml:space="preserve"/>
        </x:is>
      </x:c>
    </x:row>
    <x:row r="37">
      <x:c r="A37" s="11" t="n">
        <x:v>36</x:v>
      </x:c>
      <x:c r="B37" s="16" t="inlineStr">
        <x:is>
          <x:t xml:space="preserve">M23A-F4</x:t>
        </x:is>
      </x:c>
      <x:c r="C37" s="17" t="inlineStr">
        <x:is>
          <x:t xml:space="preserve">Chain workspace/package integration</x:t>
        </x:is>
      </x:c>
      <x:c r="D37" s="16" t="inlineStr">
        <x:is>
          <x:t xml:space="preserve">Pane 2</x:t>
        </x:is>
      </x:c>
      <x:c r="E37" s="16" t="inlineStr">
        <x:is>
          <x:t xml:space="preserve">Automation lab</x:t>
        </x:is>
      </x:c>
      <x:c r="F37" s="16" t="inlineStr">
        <x:is>
          <x:t xml:space="preserve">Chains</x:t>
        </x:is>
      </x:c>
      <x:c r="G37" s="16" t="inlineStr">
        <x:is>
          <x:t xml:space="preserve">Built</x:t>
        </x:is>
      </x:c>
      <x:c r="H37" s="16" t="inlineStr">
        <x:is>
          <x:t xml:space="preserve">Assumed complete</x:t>
        </x:is>
      </x:c>
      <x:c r="I37" s="14" t="inlineStr">
        <x:is>
          <x:t xml:space="preserve">User instruction: assume queued prompts executed</x:t>
        </x:is>
      </x:c>
      <x:c r="J37" s="18" t="n">
        <x:v>0.68</x:v>
      </x:c>
      <x:c r="K37" s="11" t="inlineStr">
        <x:is>
          <x:t xml:space="preserve">M23A-F3</x:t>
        </x:is>
      </x:c>
      <x:c r="L37" s="11" t="inlineStr">
        <x:is>
          <x:t xml:space="preserve">chain workspace</x:t>
        </x:is>
      </x:c>
      <x:c r="M37" s="14" t="inlineStr">
        <x:is>
          <x:t xml:space="preserve">Assumed queue complete</x:t>
        </x:is>
      </x:c>
      <x:c r="N37" s="14" t="inlineStr">
        <x:is>
          <x:t xml:space="preserve">Coherent chain workspaces</x:t>
        </x:is>
      </x:c>
      <x:c r="O37" s="16" t="n">
        <x:v>36</x:v>
      </x:c>
      <x:c r="P37" s="16" t="inlineStr">
        <x:is>
          <x:t xml:space="preserve"/>
        </x:is>
      </x:c>
    </x:row>
    <x:row r="38">
      <x:c r="A38" s="11" t="n">
        <x:v>37</x:v>
      </x:c>
      <x:c r="B38" s="16" t="inlineStr">
        <x:is>
          <x:t xml:space="preserve">M23A-F5</x:t>
        </x:is>
      </x:c>
      <x:c r="C38" s="17" t="inlineStr">
        <x:is>
          <x:t xml:space="preserve">Chain docs + cleanup + examples</x:t>
        </x:is>
      </x:c>
      <x:c r="D38" s="16" t="inlineStr">
        <x:is>
          <x:t xml:space="preserve">Pane 2</x:t>
        </x:is>
      </x:c>
      <x:c r="E38" s="16" t="inlineStr">
        <x:is>
          <x:t xml:space="preserve">Automation lab</x:t>
        </x:is>
      </x:c>
      <x:c r="F38" s="16" t="inlineStr">
        <x:is>
          <x:t xml:space="preserve">Chains</x:t>
        </x:is>
      </x:c>
      <x:c r="G38" s="16" t="inlineStr">
        <x:is>
          <x:t xml:space="preserve">Built</x:t>
        </x:is>
      </x:c>
      <x:c r="H38" s="16" t="inlineStr">
        <x:is>
          <x:t xml:space="preserve">Assumed complete</x:t>
        </x:is>
      </x:c>
      <x:c r="I38" s="14" t="inlineStr">
        <x:is>
          <x:t xml:space="preserve">User instruction: assume queued prompts executed</x:t>
        </x:is>
      </x:c>
      <x:c r="J38" s="18" t="n">
        <x:v>0.66</x:v>
      </x:c>
      <x:c r="K38" s="11" t="inlineStr">
        <x:is>
          <x:t xml:space="preserve">M23A-F4</x:t>
        </x:is>
      </x:c>
      <x:c r="L38" s="11" t="inlineStr">
        <x:is>
          <x:t xml:space="preserve">chain docs</x:t>
        </x:is>
      </x:c>
      <x:c r="M38" s="14" t="inlineStr">
        <x:is>
          <x:t xml:space="preserve">Assumed queue complete</x:t>
        </x:is>
      </x:c>
      <x:c r="N38" s="14" t="inlineStr">
        <x:is>
          <x:t xml:space="preserve">Operator-ready chain usage</x:t>
        </x:is>
      </x:c>
      <x:c r="O38" s="16" t="n">
        <x:v>37</x:v>
      </x:c>
      <x:c r="P38" s="16" t="inlineStr">
        <x:is>
          <x:t xml:space="preserve"/>
        </x:is>
      </x:c>
    </x:row>
    <x:row r="39">
      <x:c r="A39" s="11" t="n">
        <x:v>38</x:v>
      </x:c>
      <x:c r="B39" s="16" t="inlineStr">
        <x:is>
          <x:t xml:space="preserve">M23A-F6</x:t>
        </x:is>
      </x:c>
      <x:c r="C39" s="17" t="inlineStr">
        <x:is>
          <x:t xml:space="preserve">Chain hooks into eval/benchmark</x:t>
        </x:is>
      </x:c>
      <x:c r="D39" s="16" t="inlineStr">
        <x:is>
          <x:t xml:space="preserve">Pane 2</x:t>
        </x:is>
      </x:c>
      <x:c r="E39" s="16" t="inlineStr">
        <x:is>
          <x:t xml:space="preserve">Automation lab</x:t>
        </x:is>
      </x:c>
      <x:c r="F39" s="16" t="inlineStr">
        <x:is>
          <x:t xml:space="preserve">Chains</x:t>
        </x:is>
      </x:c>
      <x:c r="G39" s="16" t="inlineStr">
        <x:is>
          <x:t xml:space="preserve">Built</x:t>
        </x:is>
      </x:c>
      <x:c r="H39" s="16" t="inlineStr">
        <x:is>
          <x:t xml:space="preserve">Assumed complete</x:t>
        </x:is>
      </x:c>
      <x:c r="I39" s="14" t="inlineStr">
        <x:is>
          <x:t xml:space="preserve">User instruction: assume queued prompts executed</x:t>
        </x:is>
      </x:c>
      <x:c r="J39" s="18" t="n">
        <x:v>0.66</x:v>
      </x:c>
      <x:c r="K39" s="11" t="inlineStr">
        <x:is>
          <x:t xml:space="preserve">M23A-F5</x:t>
        </x:is>
      </x:c>
      <x:c r="L39" s="11" t="inlineStr">
        <x:is>
          <x:t xml:space="preserve">chain eval hooks</x:t>
        </x:is>
      </x:c>
      <x:c r="M39" s="14" t="inlineStr">
        <x:is>
          <x:t xml:space="preserve">Assumed queue complete</x:t>
        </x:is>
      </x:c>
      <x:c r="N39" s="14" t="inlineStr">
        <x:is>
          <x:t xml:space="preserve">Eval-ready chain metadata</x:t>
        </x:is>
      </x:c>
      <x:c r="O39" s="16" t="n">
        <x:v>38</x:v>
      </x:c>
      <x:c r="P39" s="16" t="inlineStr">
        <x:is>
          <x:t xml:space="preserve"/>
        </x:is>
      </x:c>
    </x:row>
    <x:row r="40">
      <x:c r="A40" s="11" t="n">
        <x:v>39</x:v>
      </x:c>
      <x:c r="B40" s="12" t="inlineStr">
        <x:is>
          <x:t xml:space="preserve">M23B</x:t>
        </x:is>
      </x:c>
      <x:c r="C40" s="13" t="inlineStr">
        <x:is>
          <x:t xml:space="preserve">Edge / hardware readiness layer</x:t>
        </x:is>
      </x:c>
      <x:c r="D40" s="12" t="inlineStr">
        <x:is>
          <x:t xml:space="preserve">Pane 3</x:t>
        </x:is>
      </x:c>
      <x:c r="E40" s="12" t="inlineStr">
        <x:is>
          <x:t xml:space="preserve">Deployment</x:t>
        </x:is>
      </x:c>
      <x:c r="F40" s="12" t="inlineStr">
        <x:is>
          <x:t xml:space="preserve">Edge readiness</x:t>
        </x:is>
      </x:c>
      <x:c r="G40" s="12" t="inlineStr">
        <x:is>
          <x:t xml:space="preserve">Built</x:t>
        </x:is>
      </x:c>
      <x:c r="H40" s="12" t="inlineStr">
        <x:is>
          <x:t xml:space="preserve">Validated</x:t>
        </x:is>
      </x:c>
      <x:c r="I40" s="14" t="inlineStr">
        <x:is>
          <x:t xml:space="preserve">Build report + tests</x:t>
        </x:is>
      </x:c>
      <x:c r="J40" s="15" t="n">
        <x:v>0.88</x:v>
      </x:c>
      <x:c r="K40" s="11" t="inlineStr">
        <x:is>
          <x:t xml:space="preserve">M21S</x:t>
        </x:is>
      </x:c>
      <x:c r="L40" s="11" t="inlineStr">
        <x:is>
          <x:t xml:space="preserve">edge/*</x:t>
        </x:is>
      </x:c>
      <x:c r="M40" s="14" t="inlineStr">
        <x:is>
          <x:t xml:space="preserve">Base edge tests</x:t>
        </x:is>
      </x:c>
      <x:c r="N40" s="14" t="inlineStr">
        <x:is>
          <x:t xml:space="preserve">Readiness/profile/matrix</x:t>
        </x:is>
      </x:c>
      <x:c r="O40" s="12" t="n">
        <x:v>39</x:v>
      </x:c>
      <x:c r="P40" s="12" t="inlineStr">
        <x:is>
          <x:t xml:space="preserve"/>
        </x:is>
      </x:c>
    </x:row>
    <x:row r="41">
      <x:c r="A41" s="11" t="n">
        <x:v>40</x:v>
      </x:c>
      <x:c r="B41" s="12" t="inlineStr">
        <x:is>
          <x:t xml:space="preserve">M23B-F2</x:t>
        </x:is>
      </x:c>
      <x:c r="C41" s="13" t="inlineStr">
        <x:is>
          <x:t xml:space="preserve">Edge tiers + support matrix hardening</x:t>
        </x:is>
      </x:c>
      <x:c r="D41" s="12" t="inlineStr">
        <x:is>
          <x:t xml:space="preserve">Pane 3</x:t>
        </x:is>
      </x:c>
      <x:c r="E41" s="12" t="inlineStr">
        <x:is>
          <x:t xml:space="preserve">Deployment</x:t>
        </x:is>
      </x:c>
      <x:c r="F41" s="12" t="inlineStr">
        <x:is>
          <x:t xml:space="preserve">Edge readiness</x:t>
        </x:is>
      </x:c>
      <x:c r="G41" s="12" t="inlineStr">
        <x:is>
          <x:t xml:space="preserve">Built</x:t>
        </x:is>
      </x:c>
      <x:c r="H41" s="12" t="inlineStr">
        <x:is>
          <x:t xml:space="preserve">Validated</x:t>
        </x:is>
      </x:c>
      <x:c r="I41" s="14" t="inlineStr">
        <x:is>
          <x:t xml:space="preserve">Merged docs</x:t>
        </x:is>
      </x:c>
      <x:c r="J41" s="15" t="n">
        <x:v>0.82</x:v>
      </x:c>
      <x:c r="K41" s="11" t="inlineStr">
        <x:is>
          <x:t xml:space="preserve">M23B</x:t>
        </x:is>
      </x:c>
      <x:c r="L41" s="11" t="inlineStr">
        <x:is>
          <x:t xml:space="preserve">edge matrix</x:t>
        </x:is>
      </x:c>
      <x:c r="M41" s="14" t="inlineStr">
        <x:is>
          <x:t xml:space="preserve">Docs cited</x:t>
        </x:is>
      </x:c>
      <x:c r="N41" s="14" t="inlineStr">
        <x:is>
          <x:t xml:space="preserve">Tiered workflow support</x:t>
        </x:is>
      </x:c>
      <x:c r="O41" s="12" t="n">
        <x:v>40</x:v>
      </x:c>
      <x:c r="P41" s="12" t="inlineStr">
        <x:is>
          <x:t xml:space="preserve"/>
        </x:is>
      </x:c>
    </x:row>
    <x:row r="42">
      <x:c r="A42" s="11" t="n">
        <x:v>41</x:v>
      </x:c>
      <x:c r="B42" s="16" t="inlineStr">
        <x:is>
          <x:t xml:space="preserve">M23B-F3</x:t>
        </x:is>
      </x:c>
      <x:c r="C42" s="17" t="inlineStr">
        <x:is>
          <x:t xml:space="preserve">Edge packaging metadata + smoke checks</x:t>
        </x:is>
      </x:c>
      <x:c r="D42" s="16" t="inlineStr">
        <x:is>
          <x:t xml:space="preserve">Pane 3</x:t>
        </x:is>
      </x:c>
      <x:c r="E42" s="16" t="inlineStr">
        <x:is>
          <x:t xml:space="preserve">Deployment</x:t>
        </x:is>
      </x:c>
      <x:c r="F42" s="16" t="inlineStr">
        <x:is>
          <x:t xml:space="preserve">Edge readiness</x:t>
        </x:is>
      </x:c>
      <x:c r="G42" s="16" t="inlineStr">
        <x:is>
          <x:t xml:space="preserve">Built</x:t>
        </x:is>
      </x:c>
      <x:c r="H42" s="16" t="inlineStr">
        <x:is>
          <x:t xml:space="preserve">Assumed complete</x:t>
        </x:is>
      </x:c>
      <x:c r="I42" s="14" t="inlineStr">
        <x:is>
          <x:t xml:space="preserve">User instruction: assume queued prompts executed</x:t>
        </x:is>
      </x:c>
      <x:c r="J42" s="18" t="n">
        <x:v>0.7</x:v>
      </x:c>
      <x:c r="K42" s="11" t="inlineStr">
        <x:is>
          <x:t xml:space="preserve">M23B-F2</x:t>
        </x:is>
      </x:c>
      <x:c r="L42" s="11" t="inlineStr">
        <x:is>
          <x:t xml:space="preserve">edge package-report</x:t>
        </x:is>
      </x:c>
      <x:c r="M42" s="14" t="inlineStr">
        <x:is>
          <x:t xml:space="preserve">Assumed queue complete</x:t>
        </x:is>
      </x:c>
      <x:c r="N42" s="14" t="inlineStr">
        <x:is>
          <x:t xml:space="preserve">Packaging report + smoke checks</x:t>
        </x:is>
      </x:c>
      <x:c r="O42" s="16" t="n">
        <x:v>41</x:v>
      </x:c>
      <x:c r="P42" s="16" t="inlineStr">
        <x:is>
          <x:t xml:space="preserve"/>
        </x:is>
      </x:c>
    </x:row>
    <x:row r="43">
      <x:c r="A43" s="11" t="n">
        <x:v>42</x:v>
      </x:c>
      <x:c r="B43" s="16" t="inlineStr">
        <x:is>
          <x:t xml:space="preserve">M23B-F4</x:t>
        </x:is>
      </x:c>
      <x:c r="C43" s="17" t="inlineStr">
        <x:is>
          <x:t xml:space="preserve">Edge docs + sample profiles</x:t>
        </x:is>
      </x:c>
      <x:c r="D43" s="16" t="inlineStr">
        <x:is>
          <x:t xml:space="preserve">Pane 3</x:t>
        </x:is>
      </x:c>
      <x:c r="E43" s="16" t="inlineStr">
        <x:is>
          <x:t xml:space="preserve">Deployment</x:t>
        </x:is>
      </x:c>
      <x:c r="F43" s="16" t="inlineStr">
        <x:is>
          <x:t xml:space="preserve">Edge readiness</x:t>
        </x:is>
      </x:c>
      <x:c r="G43" s="16" t="inlineStr">
        <x:is>
          <x:t xml:space="preserve">Built</x:t>
        </x:is>
      </x:c>
      <x:c r="H43" s="16" t="inlineStr">
        <x:is>
          <x:t xml:space="preserve">Assumed complete</x:t>
        </x:is>
      </x:c>
      <x:c r="I43" s="14" t="inlineStr">
        <x:is>
          <x:t xml:space="preserve">User instruction: assume queued prompts executed</x:t>
        </x:is>
      </x:c>
      <x:c r="J43" s="18" t="n">
        <x:v>0.68</x:v>
      </x:c>
      <x:c r="K43" s="11" t="inlineStr">
        <x:is>
          <x:t xml:space="preserve">M23B-F3</x:t>
        </x:is>
      </x:c>
      <x:c r="L43" s="11" t="inlineStr">
        <x:is>
          <x:t xml:space="preserve">profile docs</x:t>
        </x:is>
      </x:c>
      <x:c r="M43" s="14" t="inlineStr">
        <x:is>
          <x:t xml:space="preserve">Assumed queue complete</x:t>
        </x:is>
      </x:c>
      <x:c r="N43" s="14" t="inlineStr">
        <x:is>
          <x:t xml:space="preserve">Operator-ready profile examples</x:t>
        </x:is>
      </x:c>
      <x:c r="O43" s="16" t="n">
        <x:v>42</x:v>
      </x:c>
      <x:c r="P43" s="16" t="inlineStr">
        <x:is>
          <x:t xml:space="preserve"/>
        </x:is>
      </x:c>
    </x:row>
    <x:row r="44">
      <x:c r="A44" s="11" t="n">
        <x:v>43</x:v>
      </x:c>
      <x:c r="B44" s="16" t="inlineStr">
        <x:is>
          <x:t xml:space="preserve">M23B-F5</x:t>
        </x:is>
      </x:c>
      <x:c r="C44" s="17" t="inlineStr">
        <x:is>
          <x:t xml:space="preserve">Continuous readiness checks + drift detection</x:t>
        </x:is>
      </x:c>
      <x:c r="D44" s="16" t="inlineStr">
        <x:is>
          <x:t xml:space="preserve">Pane 3</x:t>
        </x:is>
      </x:c>
      <x:c r="E44" s="16" t="inlineStr">
        <x:is>
          <x:t xml:space="preserve">Deployment</x:t>
        </x:is>
      </x:c>
      <x:c r="F44" s="16" t="inlineStr">
        <x:is>
          <x:t xml:space="preserve">Edge readiness</x:t>
        </x:is>
      </x:c>
      <x:c r="G44" s="16" t="inlineStr">
        <x:is>
          <x:t xml:space="preserve">Built</x:t>
        </x:is>
      </x:c>
      <x:c r="H44" s="16" t="inlineStr">
        <x:is>
          <x:t xml:space="preserve">Assumed complete</x:t>
        </x:is>
      </x:c>
      <x:c r="I44" s="14" t="inlineStr">
        <x:is>
          <x:t xml:space="preserve">User instruction: assume queued prompts executed</x:t>
        </x:is>
      </x:c>
      <x:c r="J44" s="18" t="n">
        <x:v>0.66</x:v>
      </x:c>
      <x:c r="K44" s="11" t="inlineStr">
        <x:is>
          <x:t xml:space="preserve">M23B-F4</x:t>
        </x:is>
      </x:c>
      <x:c r="L44" s="11" t="inlineStr">
        <x:is>
          <x:t xml:space="preserve">drift reports</x:t>
        </x:is>
      </x:c>
      <x:c r="M44" s="14" t="inlineStr">
        <x:is>
          <x:t xml:space="preserve">Assumed queue complete</x:t>
        </x:is>
      </x:c>
      <x:c r="N44" s="14" t="inlineStr">
        <x:is>
          <x:t xml:space="preserve">Detect env drift over time</x:t>
        </x:is>
      </x:c>
      <x:c r="O44" s="16" t="n">
        <x:v>43</x:v>
      </x:c>
      <x:c r="P44" s="16" t="inlineStr">
        <x:is>
          <x:t xml:space="preserve"/>
        </x:is>
      </x:c>
    </x:row>
    <x:row r="45">
      <x:c r="A45" s="11" t="n">
        <x:v>44</x:v>
      </x:c>
      <x:c r="B45" s="16" t="inlineStr">
        <x:is>
          <x:t xml:space="preserve">M23B-F6</x:t>
        </x:is>
      </x:c>
      <x:c r="C45" s="17" t="inlineStr">
        <x:is>
          <x:t xml:space="preserve">Edge export contracts + appliance-prep bundle</x:t>
        </x:is>
      </x:c>
      <x:c r="D45" s="16" t="inlineStr">
        <x:is>
          <x:t xml:space="preserve">Pane 3</x:t>
        </x:is>
      </x:c>
      <x:c r="E45" s="16" t="inlineStr">
        <x:is>
          <x:t xml:space="preserve">Deployment</x:t>
        </x:is>
      </x:c>
      <x:c r="F45" s="16" t="inlineStr">
        <x:is>
          <x:t xml:space="preserve">Edge readiness</x:t>
        </x:is>
      </x:c>
      <x:c r="G45" s="16" t="inlineStr">
        <x:is>
          <x:t xml:space="preserve">Built</x:t>
        </x:is>
      </x:c>
      <x:c r="H45" s="16" t="inlineStr">
        <x:is>
          <x:t xml:space="preserve">Assumed complete</x:t>
        </x:is>
      </x:c>
      <x:c r="I45" s="14" t="inlineStr">
        <x:is>
          <x:t xml:space="preserve">User instruction: assume queued prompts executed</x:t>
        </x:is>
      </x:c>
      <x:c r="J45" s="18" t="n">
        <x:v>0.66</x:v>
      </x:c>
      <x:c r="K45" s="11" t="inlineStr">
        <x:is>
          <x:t xml:space="preserve">M23B-F5</x:t>
        </x:is>
      </x:c>
      <x:c r="L45" s="11" t="inlineStr">
        <x:is>
          <x:t xml:space="preserve">edge bundle</x:t>
        </x:is>
      </x:c>
      <x:c r="M45" s="14" t="inlineStr">
        <x:is>
          <x:t xml:space="preserve">Assumed queue complete</x:t>
        </x:is>
      </x:c>
      <x:c r="N45" s="14" t="inlineStr">
        <x:is>
          <x:t xml:space="preserve">Stable edge handoff contract</x:t>
        </x:is>
      </x:c>
      <x:c r="O45" s="16" t="n">
        <x:v>44</x:v>
      </x:c>
      <x:c r="P45" s="16" t="inlineStr">
        <x:is>
          <x:t xml:space="preserve"/>
        </x:is>
      </x:c>
    </x:row>
    <x:row r="46">
      <x:c r="A46" s="11" t="n">
        <x:v>45</x:v>
      </x:c>
      <x:c r="B46" s="19" t="inlineStr">
        <x:is>
          <x:t xml:space="preserve">M23C</x:t>
        </x:is>
      </x:c>
      <x:c r="C46" s="20" t="inlineStr">
        <x:is>
          <x:t xml:space="preserve">Desktop action adapter layer</x:t>
        </x:is>
      </x:c>
      <x:c r="D46" s="19" t="inlineStr">
        <x:is>
          <x:t xml:space="preserve">Next</x:t>
        </x:is>
      </x:c>
      <x:c r="E46" s="19" t="inlineStr">
        <x:is>
          <x:t xml:space="preserve">Desktop automation</x:t>
        </x:is>
      </x:c>
      <x:c r="F46" s="19" t="inlineStr">
        <x:is>
          <x:t xml:space="preserve">Next phase</x:t>
        </x:is>
      </x:c>
      <x:c r="G46" s="19" t="inlineStr">
        <x:is>
          <x:t xml:space="preserve">Next</x:t>
        </x:is>
      </x:c>
      <x:c r="H46" s="19" t="inlineStr">
        <x:is>
          <x:t xml:space="preserve">Next phase</x:t>
        </x:is>
      </x:c>
      <x:c r="I46" s="14" t="inlineStr">
        <x:is>
          <x:t xml:space="preserve">Program recommendation</x:t>
        </x:is>
      </x:c>
      <x:c r="J46" s="21" t="n">
        <x:v>0.4</x:v>
      </x:c>
      <x:c r="K46" s="11" t="inlineStr">
        <x:is>
          <x:t xml:space="preserve">M23A-F6, M23B-F6</x:t>
        </x:is>
      </x:c>
      <x:c r="L46" s="11" t="inlineStr">
        <x:is>
          <x:t xml:space="preserve">desktop adapters</x:t>
        </x:is>
      </x:c>
      <x:c r="M46" s="14" t="inlineStr">
        <x:is>
          <x:t xml:space="preserve">-</x:t>
        </x:is>
      </x:c>
      <x:c r="N46" s="14" t="inlineStr">
        <x:is>
          <x:t xml:space="preserve">Safe adapters for local apps</x:t>
        </x:is>
      </x:c>
      <x:c r="O46" s="19" t="n">
        <x:v>45</x:v>
      </x:c>
      <x:c r="P46" s="19" t="inlineStr">
        <x:is>
          <x:t xml:space="preserve">High</x:t>
        </x:is>
      </x:c>
    </x:row>
    <x:row r="47">
      <x:c r="A47" s="11" t="n">
        <x:v>46</x:v>
      </x:c>
      <x:c r="B47" s="19" t="inlineStr">
        <x:is>
          <x:t xml:space="preserve">M23D</x:t>
        </x:is>
      </x:c>
      <x:c r="C47" s="20" t="inlineStr">
        <x:is>
          <x:t xml:space="preserve">User setup + capability discovery</x:t>
        </x:is>
      </x:c>
      <x:c r="D47" s="19" t="inlineStr">
        <x:is>
          <x:t xml:space="preserve">Next</x:t>
        </x:is>
      </x:c>
      <x:c r="E47" s="19" t="inlineStr">
        <x:is>
          <x:t xml:space="preserve">Desktop automation</x:t>
        </x:is>
      </x:c>
      <x:c r="F47" s="19" t="inlineStr">
        <x:is>
          <x:t xml:space="preserve">Next phase</x:t>
        </x:is>
      </x:c>
      <x:c r="G47" s="19" t="inlineStr">
        <x:is>
          <x:t xml:space="preserve">Next</x:t>
        </x:is>
      </x:c>
      <x:c r="H47" s="19" t="inlineStr">
        <x:is>
          <x:t xml:space="preserve">Next phase</x:t>
        </x:is>
      </x:c>
      <x:c r="I47" s="14" t="inlineStr">
        <x:is>
          <x:t xml:space="preserve">Program recommendation</x:t>
        </x:is>
      </x:c>
      <x:c r="J47" s="21" t="n">
        <x:v>0.4</x:v>
      </x:c>
      <x:c r="K47" s="11" t="inlineStr">
        <x:is>
          <x:t xml:space="preserve">M23C</x:t>
        </x:is>
      </x:c>
      <x:c r="L47" s="11" t="inlineStr">
        <x:is>
          <x:t xml:space="preserve">setup discovery</x:t>
        </x:is>
      </x:c>
      <x:c r="M47" s="14" t="inlineStr">
        <x:is>
          <x:t xml:space="preserve">-</x:t>
        </x:is>
      </x:c>
      <x:c r="N47" s="14" t="inlineStr">
        <x:is>
          <x:t xml:space="preserve">Map apps, permissions, device profile</x:t>
        </x:is>
      </x:c>
      <x:c r="O47" s="19" t="n">
        <x:v>46</x:v>
      </x:c>
      <x:c r="P47" s="19" t="inlineStr">
        <x:is>
          <x:t xml:space="preserve">High</x:t>
        </x:is>
      </x:c>
    </x:row>
    <x:row r="48">
      <x:c r="A48" s="11" t="n">
        <x:v>47</x:v>
      </x:c>
      <x:c r="B48" s="19" t="inlineStr">
        <x:is>
          <x:t xml:space="preserve">M23E</x:t>
        </x:is>
      </x:c>
      <x:c r="C48" s="20" t="inlineStr">
        <x:is>
          <x:t xml:space="preserve">On-screen task learning loop</x:t>
        </x:is>
      </x:c>
      <x:c r="D48" s="19" t="inlineStr">
        <x:is>
          <x:t xml:space="preserve">Next</x:t>
        </x:is>
      </x:c>
      <x:c r="E48" s="19" t="inlineStr">
        <x:is>
          <x:t xml:space="preserve">Desktop automation</x:t>
        </x:is>
      </x:c>
      <x:c r="F48" s="19" t="inlineStr">
        <x:is>
          <x:t xml:space="preserve">Next phase</x:t>
        </x:is>
      </x:c>
      <x:c r="G48" s="19" t="inlineStr">
        <x:is>
          <x:t xml:space="preserve">Next</x:t>
        </x:is>
      </x:c>
      <x:c r="H48" s="19" t="inlineStr">
        <x:is>
          <x:t xml:space="preserve">Next phase</x:t>
        </x:is>
      </x:c>
      <x:c r="I48" s="14" t="inlineStr">
        <x:is>
          <x:t xml:space="preserve">Program recommendation</x:t>
        </x:is>
      </x:c>
      <x:c r="J48" s="21" t="n">
        <x:v>0.35</x:v>
      </x:c>
      <x:c r="K48" s="11" t="inlineStr">
        <x:is>
          <x:t xml:space="preserve">M23D</x:t>
        </x:is>
      </x:c>
      <x:c r="L48" s="11" t="inlineStr">
        <x:is>
          <x:t xml:space="preserve">task learning</x:t>
        </x:is>
      </x:c>
      <x:c r="M48" s="14" t="inlineStr">
        <x:is>
          <x:t xml:space="preserve">-</x:t>
        </x:is>
      </x:c>
      <x:c r="N48" s="14" t="inlineStr">
        <x:is>
          <x:t xml:space="preserve">Capture demonstrations + specialize</x:t>
        </x:is>
      </x:c>
      <x:c r="O48" s="19" t="n">
        <x:v>47</x:v>
      </x:c>
      <x:c r="P48" s="19" t="inlineStr">
        <x:is>
          <x:t xml:space="preserve">Medium</x:t>
        </x:is>
      </x:c>
    </x:row>
    <x:row r="49">
      <x:c r="A49" s="11" t="n">
        <x:v>48</x:v>
      </x:c>
      <x:c r="B49" s="19" t="inlineStr">
        <x:is>
          <x:t xml:space="preserve">M23F</x:t>
        </x:is>
      </x:c>
      <x:c r="C49" s="20" t="inlineStr">
        <x:is>
          <x:t xml:space="preserve">Cross-app coordination graph</x:t>
        </x:is>
      </x:c>
      <x:c r="D49" s="19" t="inlineStr">
        <x:is>
          <x:t xml:space="preserve">Next</x:t>
        </x:is>
      </x:c>
      <x:c r="E49" s="19" t="inlineStr">
        <x:is>
          <x:t xml:space="preserve">Desktop automation</x:t>
        </x:is>
      </x:c>
      <x:c r="F49" s="19" t="inlineStr">
        <x:is>
          <x:t xml:space="preserve">Next phase</x:t>
        </x:is>
      </x:c>
      <x:c r="G49" s="19" t="inlineStr">
        <x:is>
          <x:t xml:space="preserve">Next</x:t>
        </x:is>
      </x:c>
      <x:c r="H49" s="19" t="inlineStr">
        <x:is>
          <x:t xml:space="preserve">Next phase</x:t>
        </x:is>
      </x:c>
      <x:c r="I49" s="14" t="inlineStr">
        <x:is>
          <x:t xml:space="preserve">Program recommendation</x:t>
        </x:is>
      </x:c>
      <x:c r="J49" s="21" t="n">
        <x:v>0.35</x:v>
      </x:c>
      <x:c r="K49" s="11" t="inlineStr">
        <x:is>
          <x:t xml:space="preserve">M23C, M23D</x:t>
        </x:is>
      </x:c>
      <x:c r="L49" s="11" t="inlineStr">
        <x:is>
          <x:t xml:space="preserve">app coordination</x:t>
        </x:is>
      </x:c>
      <x:c r="M49" s="14" t="inlineStr">
        <x:is>
          <x:t xml:space="preserve">-</x:t>
        </x:is>
      </x:c>
      <x:c r="N49" s="14" t="inlineStr">
        <x:is>
          <x:t xml:space="preserve">Coordinate actions across apps</x:t>
        </x:is>
      </x:c>
      <x:c r="O49" s="19" t="n">
        <x:v>48</x:v>
      </x:c>
      <x:c r="P49" s="19" t="inlineStr">
        <x:is>
          <x:t xml:space="preserve">Medium</x:t>
        </x:is>
      </x:c>
    </x:row>
    <x:row r="50">
      <x:c r="A50" s="11" t="n">
        <x:v>49</x:v>
      </x:c>
      <x:c r="B50" s="19" t="inlineStr">
        <x:is>
          <x:t xml:space="preserve">M23G</x:t>
        </x:is>
      </x:c>
      <x:c r="C50" s="20" t="inlineStr">
        <x:is>
          <x:t xml:space="preserve">Human-approved desktop automation harness</x:t>
        </x:is>
      </x:c>
      <x:c r="D50" s="19" t="inlineStr">
        <x:is>
          <x:t xml:space="preserve">Next</x:t>
        </x:is>
      </x:c>
      <x:c r="E50" s="19" t="inlineStr">
        <x:is>
          <x:t xml:space="preserve">Desktop automation</x:t>
        </x:is>
      </x:c>
      <x:c r="F50" s="19" t="inlineStr">
        <x:is>
          <x:t xml:space="preserve">Next phase</x:t>
        </x:is>
      </x:c>
      <x:c r="G50" s="19" t="inlineStr">
        <x:is>
          <x:t xml:space="preserve">Next</x:t>
        </x:is>
      </x:c>
      <x:c r="H50" s="19" t="inlineStr">
        <x:is>
          <x:t xml:space="preserve">Next phase</x:t>
        </x:is>
      </x:c>
      <x:c r="I50" s="14" t="inlineStr">
        <x:is>
          <x:t xml:space="preserve">Program recommendation</x:t>
        </x:is>
      </x:c>
      <x:c r="J50" s="21" t="n">
        <x:v>0.35</x:v>
      </x:c>
      <x:c r="K50" s="11" t="inlineStr">
        <x:is>
          <x:t xml:space="preserve">M23E, M23F</x:t>
        </x:is>
      </x:c>
      <x:c r="L50" s="11" t="inlineStr">
        <x:is>
          <x:t xml:space="preserve">automation eval</x:t>
        </x:is>
      </x:c>
      <x:c r="M50" s="14" t="inlineStr">
        <x:is>
          <x:t xml:space="preserve">-</x:t>
        </x:is>
      </x:c>
      <x:c r="N50" s="14" t="inlineStr">
        <x:is>
          <x:t xml:space="preserve">Bench + approval boundaries</x:t>
        </x:is>
      </x:c>
      <x:c r="O50" s="19" t="n">
        <x:v>49</x:v>
      </x:c>
      <x:c r="P50" s="19" t="inlineStr">
        <x:is>
          <x:t xml:space="preserve">High</x:t>
        </x:is>
      </x:c>
    </x:row>
  </x:sheetData>
  <x:pageMargins left="0.7" right="0.7" top="0.75" bottom="0.75" header="0.3" footer="0.3"/>
  <x:legacyDrawing xmlns:r="http://schemas.openxmlformats.org/officeDocument/2006/relationships" r:id="R4388e58fc42b4804"/>
  <x:tableParts count="1">
    <x:tablePart xmlns:r="http://schemas.openxmlformats.org/officeDocument/2006/relationships" r:id="R49f4599bfdd640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30" customWidth="1"/>
    <x:col min="4" max="4" width="24" customWidth="1"/>
    <x:col min="5" max="5" width="24" customWidth="1"/>
    <x:col min="6" max="6" width="24" customWidth="1"/>
    <x:col min="7" max="7" width="28" customWidth="1"/>
    <x:col min="8" max="8" width="12" customWidth="1"/>
  </x:cols>
  <x:sheetData>
    <x:row r="1">
      <x:c r="A1" s="6" t="inlineStr">
        <x:is>
          <x:t xml:space="preserve">Pane</x:t>
        </x:is>
      </x:c>
      <x:c r="B1" s="6" t="inlineStr">
        <x:is>
          <x:t xml:space="preserve">Primary scope</x:t>
        </x:is>
      </x:c>
      <x:c r="C1" s="6" t="inlineStr">
        <x:is>
          <x:t xml:space="preserve">Owned modules / paths</x:t>
        </x:is>
      </x:c>
      <x:c r="D1" s="6" t="inlineStr">
        <x:is>
          <x:t xml:space="preserve">Consumes from</x:t>
        </x:is>
      </x:c>
      <x:c r="E1" s="6" t="inlineStr">
        <x:is>
          <x:t xml:space="preserve">Produces</x:t>
        </x:is>
      </x:c>
      <x:c r="F1" s="6" t="inlineStr">
        <x:is>
          <x:t xml:space="preserve">Conflict hotspots</x:t>
        </x:is>
      </x:c>
      <x:c r="G1" s="6" t="inlineStr">
        <x:is>
          <x:t xml:space="preserve">Branch</x:t>
        </x:is>
      </x:c>
      <x:c r="H1" s="6" t="inlineStr">
        <x:is>
          <x:t xml:space="preserve">Merge order</x:t>
        </x:is>
      </x:c>
    </x:row>
    <x:row r="2">
      <x:c r="A2" s="22" t="inlineStr">
        <x:is>
          <x:t xml:space="preserve">Pane 1</x:t>
        </x:is>
      </x:c>
      <x:c r="B2" s="14" t="inlineStr">
        <x:is>
          <x:t xml:space="preserve">Workflow composition</x:t>
        </x:is>
      </x:c>
      <x:c r="C2" s="14" t="inlineStr">
        <x:is>
          <x:t xml:space="preserve">templates/*; release template hooks; template tests</x:t>
        </x:is>
      </x:c>
      <x:c r="D2" s="14" t="inlineStr">
        <x:is>
          <x:t xml:space="preserve">workflows; manifests; cohort metadata</x:t>
        </x:is>
      </x:c>
      <x:c r="E2" s="14" t="inlineStr">
        <x:is>
          <x:t xml:space="preserve">template registry; template runs; usage hooks</x:t>
        </x:is>
      </x:c>
      <x:c r="F2" s="14" t="inlineStr">
        <x:is>
          <x:t xml:space="preserve">cli.py; manifest fields</x:t>
        </x:is>
      </x:c>
      <x:c r="G2" s="14" t="inlineStr">
        <x:is>
          <x:t xml:space="preserve">feat/m22e-workflow-composer</x:t>
        </x:is>
      </x:c>
      <x:c r="H2" s="23" t="n">
        <x:v>1</x:v>
      </x:c>
    </x:row>
    <x:row r="3">
      <x:c r="A3" s="22" t="inlineStr">
        <x:is>
          <x:t xml:space="preserve">Pane 2</x:t>
        </x:is>
      </x:c>
      <x:c r="B3" s="14" t="inlineStr">
        <x:is>
          <x:t xml:space="preserve">Internal chain lab</x:t>
        </x:is>
      </x:c>
      <x:c r="C3" s="14" t="inlineStr">
        <x:is>
          <x:t xml:space="preserve">chain/*; chain tests; chain docs</x:t>
        </x:is>
      </x:c>
      <x:c r="D3" s="14" t="inlineStr">
        <x:is>
          <x:t xml:space="preserve">templates; workspaces; eval metadata</x:t>
        </x:is>
      </x:c>
      <x:c r="E3" s="14" t="inlineStr">
        <x:is>
          <x:t xml:space="preserve">chain runs; chain workspaces; compare outputs</x:t>
        </x:is>
      </x:c>
      <x:c r="F3" s="14" t="inlineStr">
        <x:is>
          <x:t xml:space="preserve">cli.py; workspace conventions</x:t>
        </x:is>
      </x:c>
      <x:c r="G3" s="14" t="inlineStr">
        <x:is>
          <x:t xml:space="preserve">feat/m23a-chain-lab</x:t>
        </x:is>
      </x:c>
      <x:c r="H3" s="23" t="n">
        <x:v>4</x:v>
      </x:c>
    </x:row>
    <x:row r="4">
      <x:c r="A4" s="22" t="inlineStr">
        <x:is>
          <x:t xml:space="preserve">Pane 3</x:t>
        </x:is>
      </x:c>
      <x:c r="B4" s="14" t="inlineStr">
        <x:is>
          <x:t xml:space="preserve">Edge readiness</x:t>
        </x:is>
      </x:c>
      <x:c r="C4" s="14" t="inlineStr">
        <x:is>
          <x:t xml:space="preserve">edge/*; edge tests; edge docs</x:t>
        </x:is>
      </x:c>
      <x:c r="D4" s="14" t="inlineStr">
        <x:is>
          <x:t xml:space="preserve">runtime/provider settings; workflow inventory</x:t>
        </x:is>
      </x:c>
      <x:c r="E4" s="14" t="inlineStr">
        <x:is>
          <x:t xml:space="preserve">edge reports; tier matrix; smoke checks</x:t>
        </x:is>
      </x:c>
      <x:c r="F4" s="14" t="inlineStr">
        <x:is>
          <x:t xml:space="preserve">cli.py; provider assumptions</x:t>
        </x:is>
      </x:c>
      <x:c r="G4" s="14" t="inlineStr">
        <x:is>
          <x:t xml:space="preserve">feat/m23b-edge-readiness</x:t>
        </x:is>
      </x:c>
      <x:c r="H4" s="23" t="n">
        <x:v>5</x:v>
      </x:c>
    </x:row>
    <x:row r="5">
      <x:c r="A5" s="22" t="inlineStr">
        <x:is>
          <x:t xml:space="preserve">Pane 4</x:t>
        </x:is>
      </x:c>
      <x:c r="B5" s="14" t="inlineStr">
        <x:is>
          <x:t xml:space="preserve">Operator surface</x:t>
        </x:is>
      </x:c>
      <x:c r="C5" s="14" t="inlineStr">
        <x:is>
          <x:t xml:space="preserve">review/*; ui/dashboard state; package/staging tests</x:t>
        </x:is>
      </x:c>
      <x:c r="D5" s="14" t="inlineStr">
        <x:is>
          <x:t xml:space="preserve">workspaces; packages; cohort reports</x:t>
        </x:is>
      </x:c>
      <x:c r="E5" s="14" t="inlineStr">
        <x:is>
          <x:t xml:space="preserve">review queue; packages; dashboard; staging board</x:t>
        </x:is>
      </x:c>
      <x:c r="F5" s="14" t="inlineStr">
        <x:is>
          <x:t xml:space="preserve">cli.py; ui services; manifest state</x:t>
        </x:is>
      </x:c>
      <x:c r="G5" s="14" t="inlineStr">
        <x:is>
          <x:t xml:space="preserve">feat/m21t-operator-surface</x:t>
        </x:is>
      </x:c>
      <x:c r="H5" s="23" t="n">
        <x:v>2</x:v>
      </x:c>
    </x:row>
    <x:row r="6">
      <x:c r="A6" s="22" t="inlineStr">
        <x:is>
          <x:t xml:space="preserve">Pane 5</x:t>
        </x:is>
      </x:c>
      <x:c r="B6" s="14" t="inlineStr">
        <x:is>
          <x:t xml:space="preserve">Dev flywheel</x:t>
        </x:is>
      </x:c>
      <x:c r="C6" s="14" t="inlineStr">
        <x:is>
          <x:t xml:space="preserve">devlab/*; eval/*; devlab tests</x:t>
        </x:is>
      </x:c>
      <x:c r="D6" s="14" t="inlineStr">
        <x:is>
          <x:t xml:space="preserve">workflows; reports; external repo snapshots</x:t>
        </x:is>
      </x:c>
      <x:c r="E6" s="14" t="inlineStr">
        <x:is>
          <x:t xml:space="preserve">intake reports; model compare; proposals; benchmark board</x:t>
        </x:is>
      </x:c>
      <x:c r="F6" s="14" t="inlineStr">
        <x:is>
          <x:t xml:space="preserve">cli.py; provider settings; report schemas</x:t>
        </x:is>
      </x:c>
      <x:c r="G6" s="14" t="inlineStr">
        <x:is>
          <x:t xml:space="preserve">feat/m21w-devflywheel</x:t>
        </x:is>
      </x:c>
      <x:c r="H6" s="23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0" customWidth="1"/>
    <x:col min="3" max="3" width="28" customWidth="1"/>
    <x:col min="4" max="4" width="36" customWidth="1"/>
    <x:col min="5" max="5" width="28" customWidth="1"/>
    <x:col min="6" max="6" width="30" customWidth="1"/>
  </x:cols>
  <x:sheetData>
    <x:row r="1">
      <x:c r="A1" s="6" t="inlineStr">
        <x:is>
          <x:t xml:space="preserve">Merge step</x:t>
        </x:is>
      </x:c>
      <x:c r="B1" s="6" t="inlineStr">
        <x:is>
          <x:t xml:space="preserve">Branch</x:t>
        </x:is>
      </x:c>
      <x:c r="C1" s="6" t="inlineStr">
        <x:is>
          <x:t xml:space="preserve">Why now</x:t>
        </x:is>
      </x:c>
      <x:c r="D1" s="6" t="inlineStr">
        <x:is>
          <x:t xml:space="preserve">Pre-merge checks</x:t>
        </x:is>
      </x:c>
      <x:c r="E1" s="6" t="inlineStr">
        <x:is>
          <x:t xml:space="preserve">Post-merge tests</x:t>
        </x:is>
      </x:c>
      <x:c r="F1" s="6" t="inlineStr">
        <x:is>
          <x:t xml:space="preserve">Stop conditions</x:t>
        </x:is>
      </x:c>
    </x:row>
    <x:row r="2">
      <x:c r="A2" s="23" t="n">
        <x:v>1</x:v>
      </x:c>
      <x:c r="B2" s="22" t="inlineStr">
        <x:is>
          <x:t xml:space="preserve">feat/m22e-workflow-composer</x:t>
        </x:is>
      </x:c>
      <x:c r="C2" s="14" t="inlineStr">
        <x:is>
          <x:t xml:space="preserve">Establishes reusable workflow contracts first</x:t>
        </x:is>
      </x:c>
      <x:c r="D2" s="14" t="inlineStr">
        <x:is>
          <x:t xml:space="preserve">template tests; cli namespace; manifest compatibility</x:t>
        </x:is>
      </x:c>
      <x:c r="E2" s="14" t="inlineStr">
        <x:is>
          <x:t xml:space="preserve">release + templates smoke tests</x:t>
        </x:is>
      </x:c>
      <x:c r="F2" s="14" t="inlineStr">
        <x:is>
          <x:t xml:space="preserve">template execution broken; manifest mismatch</x:t>
        </x:is>
      </x:c>
    </x:row>
    <x:row r="3">
      <x:c r="A3" s="23" t="n">
        <x:v>2</x:v>
      </x:c>
      <x:c r="B3" s="22" t="inlineStr">
        <x:is>
          <x:t xml:space="preserve">feat/m21t-operator-surface</x:t>
        </x:is>
      </x:c>
      <x:c r="C3" s="14" t="inlineStr">
        <x:is>
          <x:t xml:space="preserve">Operationalizes workspaces/packages for humans</x:t>
        </x:is>
      </x:c>
      <x:c r="D3" s="14" t="inlineStr">
        <x:is>
          <x:t xml:space="preserve">review/package metadata; ui service conflicts</x:t>
        </x:is>
      </x:c>
      <x:c r="E3" s="14" t="inlineStr">
        <x:is>
          <x:t xml:space="preserve">release + ui + review smoke tests</x:t>
        </x:is>
      </x:c>
      <x:c r="F3" s="14" t="inlineStr">
        <x:is>
          <x:t xml:space="preserve">dashboard broken; package discovery lost</x:t>
        </x:is>
      </x:c>
    </x:row>
    <x:row r="4">
      <x:c r="A4" s="23" t="n">
        <x:v>3</x:v>
      </x:c>
      <x:c r="B4" s="22" t="inlineStr">
        <x:is>
          <x:t xml:space="preserve">feat/m21w-devflywheel</x:t>
        </x:is>
      </x:c>
      <x:c r="C4" s="14" t="inlineStr">
        <x:is>
          <x:t xml:space="preserve">Adds measurement/research on stable outputs</x:t>
        </x:is>
      </x:c>
      <x:c r="D4" s="14" t="inlineStr">
        <x:is>
          <x:t xml:space="preserve">provider settings; devlab namespaces; report schemas</x:t>
        </x:is>
      </x:c>
      <x:c r="E4" s="14" t="inlineStr">
        <x:is>
          <x:t xml:space="preserve">devlab + eval smoke tests</x:t>
        </x:is>
      </x:c>
      <x:c r="F4" s="14" t="inlineStr">
        <x:is>
          <x:t xml:space="preserve">hidden remote calls; eval artifacts invalid</x:t>
        </x:is>
      </x:c>
    </x:row>
    <x:row r="5">
      <x:c r="A5" s="23" t="n">
        <x:v>4</x:v>
      </x:c>
      <x:c r="B5" s="22" t="inlineStr">
        <x:is>
          <x:t xml:space="preserve">feat/m23a-chain-lab</x:t>
        </x:is>
      </x:c>
      <x:c r="C5" s="14" t="inlineStr">
        <x:is>
          <x:t xml:space="preserve">Can reuse templates/packages/eval hooks cleanly</x:t>
        </x:is>
      </x:c>
      <x:c r="D5" s="14" t="inlineStr">
        <x:is>
          <x:t xml:space="preserve">chain output paths; workspace integration; cli collisions</x:t>
        </x:is>
      </x:c>
      <x:c r="E5" s="14" t="inlineStr">
        <x:is>
          <x:t xml:space="preserve">chain + release + ui smoke tests</x:t>
        </x:is>
      </x:c>
      <x:c r="F5" s="14" t="inlineStr">
        <x:is>
          <x:t xml:space="preserve">chain outputs not discoverable</x:t>
        </x:is>
      </x:c>
    </x:row>
    <x:row r="6">
      <x:c r="A6" s="23" t="n">
        <x:v>5</x:v>
      </x:c>
      <x:c r="B6" s="22" t="inlineStr">
        <x:is>
          <x:t xml:space="preserve">feat/m23b-edge-readiness</x:t>
        </x:is>
      </x:c>
      <x:c r="C6" s="14" t="inlineStr">
        <x:is>
          <x:t xml:space="preserve">Least coupled; adapts to integrated runtime picture</x:t>
        </x:is>
      </x:c>
      <x:c r="D6" s="14" t="inlineStr">
        <x:is>
          <x:t xml:space="preserve">provider/runtime assumptions; matrix paths</x:t>
        </x:is>
      </x:c>
      <x:c r="E6" s="14" t="inlineStr">
        <x:is>
          <x:t xml:space="preserve">edge + eval smoke tests</x:t>
        </x:is>
      </x:c>
      <x:c r="F6" s="14" t="inlineStr">
        <x:is>
          <x:t xml:space="preserve">false workflow support claims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40" customWidth="1"/>
    <x:col min="3" max="3" width="36" customWidth="1"/>
    <x:col min="4" max="4" width="32" customWidth="1"/>
    <x:col min="5" max="5" width="20" customWidth="1"/>
  </x:cols>
  <x:sheetData>
    <x:row r="1">
      <x:c r="A1" s="6" t="inlineStr">
        <x:is>
          <x:t xml:space="preserve">Evidence type</x:t>
        </x:is>
      </x:c>
      <x:c r="B1" s="6" t="inlineStr">
        <x:is>
          <x:t xml:space="preserve">Source file</x:t>
        </x:is>
      </x:c>
      <x:c r="C1" s="6" t="inlineStr">
        <x:is>
          <x:t xml:space="preserve">Key support</x:t>
        </x:is>
      </x:c>
      <x:c r="D1" s="6" t="inlineStr">
        <x:is>
          <x:t xml:space="preserve">Usage in tracker</x:t>
        </x:is>
      </x:c>
      <x:c r="E1" s="6" t="inlineStr">
        <x:is>
          <x:t xml:space="preserve">Confidence note</x:t>
        </x:is>
      </x:c>
    </x:row>
    <x:row r="2">
      <x:c r="A2" s="14" t="inlineStr">
        <x:is>
          <x:t xml:space="preserve">Validated build report</x:t>
        </x:is>
      </x:c>
      <x:c r="B2" s="14" t="inlineStr">
        <x:is>
          <x:t xml:space="preserve">/mnt/data/BUILD_REPORT_DETAILED.md</x:t>
        </x:is>
      </x:c>
      <x:c r="C2" s="14" t="inlineStr">
        <x:is>
          <x:t xml:space="preserve">M6-M9; workflow suite; M21T/V; M21U+C3/C4; M22B/C/D/E; M23A/B</x:t>
        </x:is>
      </x:c>
      <x:c r="D2" s="14" t="inlineStr">
        <x:is>
          <x:t xml:space="preserve">Rows tagged Validated where explicitly described in report</x:t>
        </x:is>
      </x:c>
      <x:c r="E2" s="14" t="inlineStr">
        <x:is>
          <x:t xml:space="preserve">High confidence</x:t>
        </x:is>
      </x:c>
    </x:row>
    <x:row r="3">
      <x:c r="A3" s="14" t="inlineStr">
        <x:is>
          <x:t xml:space="preserve">Merged docs index</x:t>
        </x:is>
      </x:c>
      <x:c r="B3" s="14" t="inlineStr">
        <x:is>
          <x:t xml:space="preserve">/mnt/data/merged.md</x:t>
        </x:is>
      </x:c>
      <x:c r="C3" s="14" t="inlineStr">
        <x:is>
          <x:t xml:space="preserve">A3/A4; M22E-F2; M23A-F2; C3/C4; D3; runbooks</x:t>
        </x:is>
      </x:c>
      <x:c r="D3" s="14" t="inlineStr">
        <x:is>
          <x:t xml:space="preserve">Used to confirm extension docs/artifacts exist</x:t>
        </x:is>
      </x:c>
      <x:c r="E3" s="14" t="inlineStr">
        <x:is>
          <x:t xml:space="preserve">Medium-high confidence</x:t>
        </x:is>
      </x:c>
    </x:row>
    <x:row r="4">
      <x:c r="A4" s="14" t="inlineStr">
        <x:is>
          <x:t xml:space="preserve">Prior trackers</x:t>
        </x:is>
      </x:c>
      <x:c r="B4" s="14" t="inlineStr">
        <x:is>
          <x:t xml:space="preserve">/mnt/data/clap_master_roadmap_tracker*.xlsx</x:t>
        </x:is>
      </x:c>
      <x:c r="C4" s="14" t="inlineStr">
        <x:is>
          <x:t xml:space="preserve">Earlier pane model and milestone ordering</x:t>
        </x:is>
      </x:c>
      <x:c r="D4" s="14" t="inlineStr">
        <x:is>
          <x:t xml:space="preserve">Continuity only</x:t>
        </x:is>
      </x:c>
      <x:c r="E4" s="14" t="inlineStr">
        <x:is>
          <x:t xml:space="preserve">Medium confidence</x:t>
        </x:is>
      </x:c>
    </x:row>
    <x:row r="5">
      <x:c r="A5" s="14" t="inlineStr">
        <x:is>
          <x:t xml:space="preserve">User instruction</x:t>
        </x:is>
      </x:c>
      <x:c r="B5" s="14" t="inlineStr">
        <x:is>
          <x:t xml:space="preserve">Current conversation</x:t>
        </x:is>
      </x:c>
      <x:c r="C5" s="14" t="inlineStr">
        <x:is>
          <x:t xml:space="preserve">Treat queued prompts as executed for next-phase baseline</x:t>
        </x:is>
      </x:c>
      <x:c r="D5" s="14" t="inlineStr">
        <x:is>
          <x:t xml:space="preserve">Rows tagged Assumed complete</x:t>
        </x:is>
      </x:c>
      <x:c r="E5" s="14" t="inlineStr">
        <x:is>
          <x:t xml:space="preserve">Planning baseline only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28" customWidth="1"/>
    <x:col min="4" max="4" width="20" customWidth="1"/>
    <x:col min="5" max="5" width="14" customWidth="1"/>
    <x:col min="6" max="6" width="12" customWidth="1"/>
    <x:col min="7" max="7" width="36" customWidth="1"/>
  </x:cols>
  <x:sheetData>
    <x:row r="1">
      <x:c r="A1" s="6" t="inlineStr">
        <x:is>
          <x:t xml:space="preserve">Candidate</x:t>
        </x:is>
      </x:c>
      <x:c r="B1" s="6" t="inlineStr">
        <x:is>
          <x:t xml:space="preserve">Goal</x:t>
        </x:is>
      </x:c>
      <x:c r="C1" s="6" t="inlineStr">
        <x:is>
          <x:t xml:space="preserve">Why next</x:t>
        </x:is>
      </x:c>
      <x:c r="D1" s="6" t="inlineStr">
        <x:is>
          <x:t xml:space="preserve">Depends on</x:t>
        </x:is>
      </x:c>
      <x:c r="E1" s="6" t="inlineStr">
        <x:is>
          <x:t xml:space="preserve">Suggested pane</x:t>
        </x:is>
      </x:c>
      <x:c r="F1" s="6" t="inlineStr">
        <x:is>
          <x:t xml:space="preserve">Confidence</x:t>
        </x:is>
      </x:c>
      <x:c r="G1" s="6" t="inlineStr">
        <x:is>
          <x:t xml:space="preserve">Prompt packet summary</x:t>
        </x:is>
      </x:c>
    </x:row>
    <x:row r="2">
      <x:c r="A2" s="20" t="inlineStr">
        <x:is>
          <x:t xml:space="preserve">M23C Desktop action adapters</x:t>
        </x:is>
      </x:c>
      <x:c r="B2" s="14" t="inlineStr">
        <x:is>
          <x:t xml:space="preserve">Safe local app actions</x:t>
        </x:is>
      </x:c>
      <x:c r="C2" s="14" t="inlineStr">
        <x:is>
          <x:t xml:space="preserve">Bridge from reporting product to real desktop execution</x:t>
        </x:is>
      </x:c>
      <x:c r="D2" s="14" t="inlineStr">
        <x:is>
          <x:t xml:space="preserve">M23A-F6; M23B-F6</x:t>
        </x:is>
      </x:c>
      <x:c r="E2" s="14" t="inlineStr">
        <x:is>
          <x:t xml:space="preserve">New Pane A</x:t>
        </x:is>
      </x:c>
      <x:c r="F2" s="24" t="n">
        <x:v>0.4</x:v>
      </x:c>
      <x:c r="G2" s="14" t="inlineStr">
        <x:is>
          <x:t xml:space="preserve">Adapters for browser, files, mail, docs, notes</x:t>
        </x:is>
      </x:c>
    </x:row>
    <x:row r="3">
      <x:c r="A3" s="20" t="inlineStr">
        <x:is>
          <x:t xml:space="preserve">M23D Setup + capability discovery</x:t>
        </x:is>
      </x:c>
      <x:c r="B3" s="14" t="inlineStr">
        <x:is>
          <x:t xml:space="preserve">Map device/app capabilities</x:t>
        </x:is>
      </x:c>
      <x:c r="C3" s="14" t="inlineStr">
        <x:is>
          <x:t xml:space="preserve">Needed before specialization or automation</x:t>
        </x:is>
      </x:c>
      <x:c r="D3" s="14" t="inlineStr">
        <x:is>
          <x:t xml:space="preserve">M23C</x:t>
        </x:is>
      </x:c>
      <x:c r="E3" s="14" t="inlineStr">
        <x:is>
          <x:t xml:space="preserve">New Pane B</x:t>
        </x:is>
      </x:c>
      <x:c r="F3" s="24" t="n">
        <x:v>0.4</x:v>
      </x:c>
      <x:c r="G3" s="14" t="inlineStr">
        <x:is>
          <x:t xml:space="preserve">Discover installed apps, permissions, user-approved surfaces</x:t>
        </x:is>
      </x:c>
    </x:row>
    <x:row r="4">
      <x:c r="A4" s="20" t="inlineStr">
        <x:is>
          <x:t xml:space="preserve">M23E On-screen task learning loop</x:t>
        </x:is>
      </x:c>
      <x:c r="B4" s="14" t="inlineStr">
        <x:is>
          <x:t xml:space="preserve">Learn from user demonstrations</x:t>
        </x:is>
      </x:c>
      <x:c r="C4" s="14" t="inlineStr">
        <x:is>
          <x:t xml:space="preserve">Specialization layer for repeated jobs</x:t>
        </x:is>
      </x:c>
      <x:c r="D4" s="14" t="inlineStr">
        <x:is>
          <x:t xml:space="preserve">M23D</x:t>
        </x:is>
      </x:c>
      <x:c r="E4" s="14" t="inlineStr">
        <x:is>
          <x:t xml:space="preserve">New Pane C</x:t>
        </x:is>
      </x:c>
      <x:c r="F4" s="24" t="n">
        <x:v>0.35</x:v>
      </x:c>
      <x:c r="G4" s="14" t="inlineStr">
        <x:is>
          <x:t xml:space="preserve">Capture demos, derive safe task models</x:t>
        </x:is>
      </x:c>
    </x:row>
    <x:row r="5">
      <x:c r="A5" s="20" t="inlineStr">
        <x:is>
          <x:t xml:space="preserve">M23F Cross-app coordination graph</x:t>
        </x:is>
      </x:c>
      <x:c r="B5" s="14" t="inlineStr">
        <x:is>
          <x:t xml:space="preserve">Coordinate tasks across apps</x:t>
        </x:is>
      </x:c>
      <x:c r="C5" s="14" t="inlineStr">
        <x:is>
          <x:t xml:space="preserve">Needed for human-like multi-app job execution</x:t>
        </x:is>
      </x:c>
      <x:c r="D5" s="14" t="inlineStr">
        <x:is>
          <x:t xml:space="preserve">M23C; M23D</x:t>
        </x:is>
      </x:c>
      <x:c r="E5" s="14" t="inlineStr">
        <x:is>
          <x:t xml:space="preserve">New Pane D</x:t>
        </x:is>
      </x:c>
      <x:c r="F5" s="24" t="n">
        <x:v>0.35</x:v>
      </x:c>
      <x:c r="G5" s="14" t="inlineStr">
        <x:is>
          <x:t xml:space="preserve">Task graph across browser, files, mail, docs</x:t>
        </x:is>
      </x:c>
    </x:row>
    <x:row r="6">
      <x:c r="A6" s="20" t="inlineStr">
        <x:is>
          <x:t xml:space="preserve">M23G Human-approved desktop automation harness</x:t>
        </x:is>
      </x:c>
      <x:c r="B6" s="14" t="inlineStr">
        <x:is>
          <x:t xml:space="preserve">Benchmark and gate desktop automations</x:t>
        </x:is>
      </x:c>
      <x:c r="C6" s="14" t="inlineStr">
        <x:is>
          <x:t xml:space="preserve">Keeps automation measurable and safe</x:t>
        </x:is>
      </x:c>
      <x:c r="D6" s="14" t="inlineStr">
        <x:is>
          <x:t xml:space="preserve">M23E; M23F</x:t>
        </x:is>
      </x:c>
      <x:c r="E6" s="14" t="inlineStr">
        <x:is>
          <x:t xml:space="preserve">New Pane E</x:t>
        </x:is>
      </x:c>
      <x:c r="F6" s="24" t="n">
        <x:v>0.35</x:v>
      </x:c>
      <x:c r="G6" s="14" t="inlineStr">
        <x:is>
          <x:t xml:space="preserve">Approval boundaries, replay tests, rollback-safe automation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10" customWidth="1"/>
  </x:cols>
  <x:sheetData>
    <x:row r="1">
      <x:c r="A1" s="25" t="inlineStr">
        <x:is>
          <x:t xml:space="preserve">Built / Validated / Assumed / Next</x:t>
        </x:is>
      </x:c>
    </x:row>
    <x:row r="3">
      <x:c r="A3" s="6" t="inlineStr">
        <x:is>
          <x:t xml:space="preserve">Category</x:t>
        </x:is>
      </x:c>
      <x:c r="B3" s="6" t="inlineStr">
        <x:is>
          <x:t xml:space="preserve">Items</x:t>
        </x:is>
      </x:c>
    </x:row>
    <x:row r="4">
      <x:c r="A4" s="22" t="inlineStr">
        <x:is>
          <x:t xml:space="preserve">Built + validated now</x:t>
        </x:is>
      </x:c>
      <x:c r="B4" s="14" t="inlineStr">
        <x:is>
          <x:t xml:space="preserve">M6, M7, M8, M9, M21O/P/Q, M21R, M21S, A2-A4, M21T, M21U, M21V, M22B, M22C, M22D, M22E, M23A, M23B, C3, C4, D3</x:t>
        </x:is>
      </x:c>
    </x:row>
    <x:row r="5">
      <x:c r="A5" s="22" t="inlineStr">
        <x:is>
          <x:t xml:space="preserve">Built + assumed complete</x:t>
        </x:is>
      </x:c>
      <x:c r="B5" s="14" t="inlineStr">
        <x:is>
          <x:t xml:space="preserve">M21T-F2, C2, M21W-F1/F2, M21X-F1, M22E-F3/F4/F5/F6, M23A-F3/F4/F5/F6, M23B-F3/F4/F5/F6</x:t>
        </x:is>
      </x:c>
    </x:row>
    <x:row r="6">
      <x:c r="A6" s="22" t="inlineStr">
        <x:is>
          <x:t xml:space="preserve">Next phase candidates</x:t>
        </x:is>
      </x:c>
      <x:c r="B6" s="14" t="inlineStr">
        <x:is>
          <x:t xml:space="preserve">M23C, M23D, M23E, M23F, M23G</x:t>
        </x:is>
      </x:c>
    </x:row>
    <x:row r="7">
      <x:c r="A7" s="22" t="inlineStr">
        <x:is>
          <x:t xml:space="preserve">Program read</x:t>
        </x:is>
      </x:c>
      <x:c r="B7" s="14" t="inlineStr">
        <x:is>
          <x:t xml:space="preserve">Core local operator stack is real; workflow composition, operator surface, dev flywheel, automation lab, and edge readiness are at productization stage.</x:t>
        </x:is>
      </x:c>
    </x:row>
  </x:sheetData>
  <x:pageMargins left="0.7" right="0.7" top="0.75" bottom="0.75" header="0.3" footer="0.3"/>
</x:worksheet>
</file>